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ongroup-my.sharepoint.com/personal/valentin_bertrand_keon-group_com/Documents/Bureau/"/>
    </mc:Choice>
  </mc:AlternateContent>
  <xr:revisionPtr revIDLastSave="20" documentId="8_{4C278EE7-B729-4AEC-B996-35985796468D}" xr6:coauthVersionLast="47" xr6:coauthVersionMax="47" xr10:uidLastSave="{75451CB6-DF07-4D22-A40F-CAFE75B6179A}"/>
  <bookViews>
    <workbookView xWindow="-34050" yWindow="8505" windowWidth="38700" windowHeight="15345" activeTab="1" xr2:uid="{EDE5C4E3-A3BA-4759-93F9-C34EEC3D6DE5}"/>
  </bookViews>
  <sheets>
    <sheet name="RH" sheetId="1" r:id="rId1"/>
    <sheet name="Opex" sheetId="4" r:id="rId2"/>
    <sheet name="Amort" sheetId="3" r:id="rId3"/>
    <sheet name="B26 IT" sheetId="8" r:id="rId4"/>
  </sheets>
  <definedNames>
    <definedName name="_xlnm._FilterDatabase" localSheetId="1" hidden="1">Opex!$A$1:$V$63</definedName>
    <definedName name="_xlnm._FilterDatabase" localSheetId="0" hidden="1">RH!$A$2:$W$6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9" i="3"/>
  <c r="G7" i="8" l="1"/>
  <c r="F7" i="8"/>
  <c r="E7" i="8"/>
  <c r="D7" i="8"/>
  <c r="H6" i="8" l="1"/>
  <c r="H5" i="8"/>
  <c r="C7" i="8" l="1"/>
  <c r="H7" i="8" s="1"/>
  <c r="G6" i="1" l="1"/>
  <c r="D6" i="1"/>
  <c r="E62" i="4" l="1"/>
  <c r="E55" i="4"/>
  <c r="H55" i="4" s="1"/>
  <c r="U55" i="4" s="1"/>
  <c r="E50" i="4"/>
  <c r="E9" i="4"/>
  <c r="H9" i="4" s="1"/>
  <c r="H8" i="4"/>
  <c r="J8" i="4" s="1"/>
  <c r="N55" i="4" l="1"/>
  <c r="O55" i="4"/>
  <c r="P55" i="4"/>
  <c r="Q55" i="4"/>
  <c r="J55" i="4"/>
  <c r="R55" i="4"/>
  <c r="K55" i="4"/>
  <c r="S55" i="4"/>
  <c r="L55" i="4"/>
  <c r="T55" i="4"/>
  <c r="M55" i="4"/>
  <c r="U9" i="4"/>
  <c r="N9" i="4"/>
  <c r="P9" i="4"/>
  <c r="O9" i="4"/>
  <c r="Q9" i="4"/>
  <c r="J9" i="4"/>
  <c r="R9" i="4"/>
  <c r="K9" i="4"/>
  <c r="S9" i="4"/>
  <c r="L9" i="4"/>
  <c r="T9" i="4"/>
  <c r="M9" i="4"/>
  <c r="Q8" i="4"/>
  <c r="O8" i="4"/>
  <c r="P8" i="4"/>
  <c r="N8" i="4"/>
  <c r="U8" i="4"/>
  <c r="M8" i="4"/>
  <c r="T8" i="4"/>
  <c r="L8" i="4"/>
  <c r="S8" i="4"/>
  <c r="K8" i="4"/>
  <c r="V8" i="4" s="1"/>
  <c r="R8" i="4"/>
  <c r="V55" i="4" l="1"/>
  <c r="V9" i="4"/>
  <c r="B4" i="3"/>
  <c r="N8" i="3"/>
  <c r="M8" i="3"/>
  <c r="L8" i="3"/>
  <c r="K8" i="3"/>
  <c r="J8" i="3"/>
  <c r="I8" i="3"/>
  <c r="H8" i="3"/>
  <c r="G8" i="3"/>
  <c r="F8" i="3"/>
  <c r="O8" i="3"/>
  <c r="E63" i="4" l="1"/>
  <c r="E57" i="4"/>
  <c r="E56" i="4"/>
  <c r="H34" i="4"/>
  <c r="Q34" i="4" s="1"/>
  <c r="E44" i="4"/>
  <c r="E38" i="4"/>
  <c r="E51" i="4"/>
  <c r="H62" i="4"/>
  <c r="S62" i="4" s="1"/>
  <c r="R34" i="4" l="1"/>
  <c r="J34" i="4"/>
  <c r="K34" i="4"/>
  <c r="S34" i="4"/>
  <c r="L34" i="4"/>
  <c r="T34" i="4"/>
  <c r="M34" i="4"/>
  <c r="U34" i="4"/>
  <c r="N34" i="4"/>
  <c r="O34" i="4"/>
  <c r="P34" i="4"/>
  <c r="Q62" i="4"/>
  <c r="U62" i="4"/>
  <c r="L62" i="4"/>
  <c r="M62" i="4"/>
  <c r="T62" i="4"/>
  <c r="N62" i="4"/>
  <c r="O62" i="4"/>
  <c r="J62" i="4"/>
  <c r="R62" i="4"/>
  <c r="P62" i="4"/>
  <c r="K62" i="4"/>
  <c r="V34" i="4" l="1"/>
  <c r="V62" i="4"/>
  <c r="H2" i="4" l="1"/>
  <c r="H3" i="4"/>
  <c r="H4" i="4"/>
  <c r="H5" i="4"/>
  <c r="H6" i="4"/>
  <c r="H7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U47" i="4" s="1"/>
  <c r="H48" i="4"/>
  <c r="H49" i="4"/>
  <c r="H50" i="4"/>
  <c r="H51" i="4"/>
  <c r="H52" i="4"/>
  <c r="H53" i="4"/>
  <c r="H54" i="4"/>
  <c r="H56" i="4"/>
  <c r="H57" i="4"/>
  <c r="H58" i="4"/>
  <c r="H59" i="4"/>
  <c r="H60" i="4"/>
  <c r="H61" i="4"/>
  <c r="H63" i="4"/>
  <c r="U50" i="4" l="1"/>
  <c r="M50" i="4"/>
  <c r="T50" i="4"/>
  <c r="K50" i="4"/>
  <c r="S50" i="4"/>
  <c r="J50" i="4"/>
  <c r="R50" i="4"/>
  <c r="Q50" i="4"/>
  <c r="P50" i="4"/>
  <c r="O50" i="4"/>
  <c r="N50" i="4"/>
  <c r="L50" i="4"/>
  <c r="T63" i="4"/>
  <c r="L63" i="4"/>
  <c r="J63" i="4"/>
  <c r="O63" i="4"/>
  <c r="S63" i="4"/>
  <c r="K63" i="4"/>
  <c r="R63" i="4"/>
  <c r="Q63" i="4"/>
  <c r="P63" i="4"/>
  <c r="N63" i="4"/>
  <c r="U63" i="4"/>
  <c r="M63" i="4"/>
  <c r="R61" i="4"/>
  <c r="S61" i="4"/>
  <c r="Q61" i="4"/>
  <c r="O61" i="4"/>
  <c r="J61" i="4"/>
  <c r="P61" i="4"/>
  <c r="N61" i="4"/>
  <c r="U61" i="4"/>
  <c r="M61" i="4"/>
  <c r="T61" i="4"/>
  <c r="L61" i="4"/>
  <c r="K61" i="4"/>
  <c r="U60" i="4"/>
  <c r="T60" i="4"/>
  <c r="L60" i="4"/>
  <c r="Q60" i="4"/>
  <c r="N60" i="4"/>
  <c r="M60" i="4"/>
  <c r="S60" i="4"/>
  <c r="K60" i="4"/>
  <c r="R60" i="4"/>
  <c r="J60" i="4"/>
  <c r="P60" i="4"/>
  <c r="O60" i="4"/>
  <c r="T59" i="4"/>
  <c r="L59" i="4"/>
  <c r="R59" i="4"/>
  <c r="J59" i="4"/>
  <c r="S59" i="4"/>
  <c r="K59" i="4"/>
  <c r="Q59" i="4"/>
  <c r="P59" i="4"/>
  <c r="N59" i="4"/>
  <c r="U59" i="4"/>
  <c r="M59" i="4"/>
  <c r="O59" i="4"/>
  <c r="Q58" i="4"/>
  <c r="O58" i="4"/>
  <c r="L58" i="4"/>
  <c r="S58" i="4"/>
  <c r="K58" i="4"/>
  <c r="R58" i="4"/>
  <c r="J58" i="4"/>
  <c r="P58" i="4"/>
  <c r="N58" i="4"/>
  <c r="U58" i="4"/>
  <c r="M58" i="4"/>
  <c r="T58" i="4"/>
  <c r="Q57" i="4"/>
  <c r="O57" i="4"/>
  <c r="S57" i="4"/>
  <c r="K57" i="4"/>
  <c r="P57" i="4"/>
  <c r="R57" i="4"/>
  <c r="J57" i="4"/>
  <c r="N57" i="4"/>
  <c r="U57" i="4"/>
  <c r="M57" i="4"/>
  <c r="T57" i="4"/>
  <c r="L57" i="4"/>
  <c r="Q56" i="4"/>
  <c r="S56" i="4"/>
  <c r="J56" i="4"/>
  <c r="P56" i="4"/>
  <c r="O56" i="4"/>
  <c r="K56" i="4"/>
  <c r="R56" i="4"/>
  <c r="N56" i="4"/>
  <c r="U56" i="4"/>
  <c r="M56" i="4"/>
  <c r="T56" i="4"/>
  <c r="L56" i="4"/>
  <c r="U35" i="4"/>
  <c r="M35" i="4"/>
  <c r="T35" i="4"/>
  <c r="L35" i="4"/>
  <c r="S35" i="4"/>
  <c r="K35" i="4"/>
  <c r="R35" i="4"/>
  <c r="J35" i="4"/>
  <c r="N35" i="4"/>
  <c r="Q35" i="4"/>
  <c r="P35" i="4"/>
  <c r="O35" i="4"/>
  <c r="Q26" i="4"/>
  <c r="R26" i="4"/>
  <c r="P26" i="4"/>
  <c r="O26" i="4"/>
  <c r="J26" i="4"/>
  <c r="N26" i="4"/>
  <c r="U26" i="4"/>
  <c r="M26" i="4"/>
  <c r="T26" i="4"/>
  <c r="L26" i="4"/>
  <c r="S26" i="4"/>
  <c r="K26" i="4"/>
  <c r="Q18" i="4"/>
  <c r="J18" i="4"/>
  <c r="P18" i="4"/>
  <c r="O18" i="4"/>
  <c r="R18" i="4"/>
  <c r="N18" i="4"/>
  <c r="U18" i="4"/>
  <c r="M18" i="4"/>
  <c r="T18" i="4"/>
  <c r="L18" i="4"/>
  <c r="S18" i="4"/>
  <c r="K18" i="4"/>
  <c r="Q10" i="4"/>
  <c r="J10" i="4"/>
  <c r="P10" i="4"/>
  <c r="O10" i="4"/>
  <c r="R10" i="4"/>
  <c r="N10" i="4"/>
  <c r="U10" i="4"/>
  <c r="M10" i="4"/>
  <c r="T10" i="4"/>
  <c r="L10" i="4"/>
  <c r="S10" i="4"/>
  <c r="K10" i="4"/>
  <c r="Q32" i="4"/>
  <c r="R32" i="4"/>
  <c r="P32" i="4"/>
  <c r="O32" i="4"/>
  <c r="J32" i="4"/>
  <c r="N32" i="4"/>
  <c r="U32" i="4"/>
  <c r="M32" i="4"/>
  <c r="T32" i="4"/>
  <c r="L32" i="4"/>
  <c r="S32" i="4"/>
  <c r="K32" i="4"/>
  <c r="Q24" i="4"/>
  <c r="P24" i="4"/>
  <c r="O24" i="4"/>
  <c r="R24" i="4"/>
  <c r="J24" i="4"/>
  <c r="N24" i="4"/>
  <c r="U24" i="4"/>
  <c r="M24" i="4"/>
  <c r="T24" i="4"/>
  <c r="L24" i="4"/>
  <c r="S24" i="4"/>
  <c r="K24" i="4"/>
  <c r="Q16" i="4"/>
  <c r="J16" i="4"/>
  <c r="P16" i="4"/>
  <c r="O16" i="4"/>
  <c r="R16" i="4"/>
  <c r="N16" i="4"/>
  <c r="U16" i="4"/>
  <c r="M16" i="4"/>
  <c r="T16" i="4"/>
  <c r="L16" i="4"/>
  <c r="S16" i="4"/>
  <c r="K16" i="4"/>
  <c r="Q6" i="4"/>
  <c r="R6" i="4"/>
  <c r="P6" i="4"/>
  <c r="O6" i="4"/>
  <c r="J6" i="4"/>
  <c r="N6" i="4"/>
  <c r="U6" i="4"/>
  <c r="M6" i="4"/>
  <c r="T6" i="4"/>
  <c r="L6" i="4"/>
  <c r="S6" i="4"/>
  <c r="K6" i="4"/>
  <c r="U33" i="4"/>
  <c r="M33" i="4"/>
  <c r="T33" i="4"/>
  <c r="L33" i="4"/>
  <c r="S33" i="4"/>
  <c r="K33" i="4"/>
  <c r="R33" i="4"/>
  <c r="J33" i="4"/>
  <c r="Q33" i="4"/>
  <c r="N33" i="4"/>
  <c r="P33" i="4"/>
  <c r="O33" i="4"/>
  <c r="U25" i="4"/>
  <c r="M25" i="4"/>
  <c r="N25" i="4"/>
  <c r="T25" i="4"/>
  <c r="L25" i="4"/>
  <c r="S25" i="4"/>
  <c r="K25" i="4"/>
  <c r="R25" i="4"/>
  <c r="J25" i="4"/>
  <c r="Q25" i="4"/>
  <c r="P25" i="4"/>
  <c r="O25" i="4"/>
  <c r="U17" i="4"/>
  <c r="M17" i="4"/>
  <c r="T17" i="4"/>
  <c r="L17" i="4"/>
  <c r="S17" i="4"/>
  <c r="K17" i="4"/>
  <c r="R17" i="4"/>
  <c r="J17" i="4"/>
  <c r="Q17" i="4"/>
  <c r="P17" i="4"/>
  <c r="N17" i="4"/>
  <c r="O17" i="4"/>
  <c r="U7" i="4"/>
  <c r="M7" i="4"/>
  <c r="T7" i="4"/>
  <c r="L7" i="4"/>
  <c r="S7" i="4"/>
  <c r="K7" i="4"/>
  <c r="N7" i="4"/>
  <c r="R7" i="4"/>
  <c r="J7" i="4"/>
  <c r="Q7" i="4"/>
  <c r="P7" i="4"/>
  <c r="O7" i="4"/>
  <c r="U31" i="4"/>
  <c r="M31" i="4"/>
  <c r="T31" i="4"/>
  <c r="L31" i="4"/>
  <c r="S31" i="4"/>
  <c r="K31" i="4"/>
  <c r="N31" i="4"/>
  <c r="R31" i="4"/>
  <c r="J31" i="4"/>
  <c r="Q31" i="4"/>
  <c r="P31" i="4"/>
  <c r="O31" i="4"/>
  <c r="U23" i="4"/>
  <c r="M23" i="4"/>
  <c r="N23" i="4"/>
  <c r="T23" i="4"/>
  <c r="L23" i="4"/>
  <c r="S23" i="4"/>
  <c r="K23" i="4"/>
  <c r="R23" i="4"/>
  <c r="J23" i="4"/>
  <c r="Q23" i="4"/>
  <c r="P23" i="4"/>
  <c r="O23" i="4"/>
  <c r="U15" i="4"/>
  <c r="M15" i="4"/>
  <c r="T15" i="4"/>
  <c r="L15" i="4"/>
  <c r="S15" i="4"/>
  <c r="K15" i="4"/>
  <c r="R15" i="4"/>
  <c r="J15" i="4"/>
  <c r="Q15" i="4"/>
  <c r="P15" i="4"/>
  <c r="O15" i="4"/>
  <c r="N15" i="4"/>
  <c r="U5" i="4"/>
  <c r="M5" i="4"/>
  <c r="N5" i="4"/>
  <c r="T5" i="4"/>
  <c r="L5" i="4"/>
  <c r="S5" i="4"/>
  <c r="K5" i="4"/>
  <c r="R5" i="4"/>
  <c r="J5" i="4"/>
  <c r="Q5" i="4"/>
  <c r="P5" i="4"/>
  <c r="O5" i="4"/>
  <c r="Q30" i="4"/>
  <c r="R30" i="4"/>
  <c r="P30" i="4"/>
  <c r="O30" i="4"/>
  <c r="J30" i="4"/>
  <c r="N30" i="4"/>
  <c r="U30" i="4"/>
  <c r="M30" i="4"/>
  <c r="T30" i="4"/>
  <c r="L30" i="4"/>
  <c r="S30" i="4"/>
  <c r="K30" i="4"/>
  <c r="Q22" i="4"/>
  <c r="J22" i="4"/>
  <c r="P22" i="4"/>
  <c r="O22" i="4"/>
  <c r="R22" i="4"/>
  <c r="N22" i="4"/>
  <c r="U22" i="4"/>
  <c r="M22" i="4"/>
  <c r="T22" i="4"/>
  <c r="L22" i="4"/>
  <c r="S22" i="4"/>
  <c r="K22" i="4"/>
  <c r="Q14" i="4"/>
  <c r="J14" i="4"/>
  <c r="P14" i="4"/>
  <c r="O14" i="4"/>
  <c r="R14" i="4"/>
  <c r="N14" i="4"/>
  <c r="U14" i="4"/>
  <c r="M14" i="4"/>
  <c r="T14" i="4"/>
  <c r="L14" i="4"/>
  <c r="S14" i="4"/>
  <c r="K14" i="4"/>
  <c r="Q4" i="4"/>
  <c r="J4" i="4"/>
  <c r="P4" i="4"/>
  <c r="O4" i="4"/>
  <c r="R4" i="4"/>
  <c r="N4" i="4"/>
  <c r="U4" i="4"/>
  <c r="M4" i="4"/>
  <c r="T4" i="4"/>
  <c r="L4" i="4"/>
  <c r="S4" i="4"/>
  <c r="K4" i="4"/>
  <c r="U29" i="4"/>
  <c r="M29" i="4"/>
  <c r="N29" i="4"/>
  <c r="T29" i="4"/>
  <c r="L29" i="4"/>
  <c r="S29" i="4"/>
  <c r="K29" i="4"/>
  <c r="R29" i="4"/>
  <c r="J29" i="4"/>
  <c r="Q29" i="4"/>
  <c r="P29" i="4"/>
  <c r="O29" i="4"/>
  <c r="U21" i="4"/>
  <c r="M21" i="4"/>
  <c r="T21" i="4"/>
  <c r="L21" i="4"/>
  <c r="S21" i="4"/>
  <c r="K21" i="4"/>
  <c r="N21" i="4"/>
  <c r="R21" i="4"/>
  <c r="J21" i="4"/>
  <c r="Q21" i="4"/>
  <c r="P21" i="4"/>
  <c r="O21" i="4"/>
  <c r="U13" i="4"/>
  <c r="M13" i="4"/>
  <c r="N13" i="4"/>
  <c r="T13" i="4"/>
  <c r="L13" i="4"/>
  <c r="S13" i="4"/>
  <c r="K13" i="4"/>
  <c r="R13" i="4"/>
  <c r="J13" i="4"/>
  <c r="Q13" i="4"/>
  <c r="P13" i="4"/>
  <c r="O13" i="4"/>
  <c r="U3" i="4"/>
  <c r="M3" i="4"/>
  <c r="T3" i="4"/>
  <c r="L3" i="4"/>
  <c r="S3" i="4"/>
  <c r="K3" i="4"/>
  <c r="N3" i="4"/>
  <c r="R3" i="4"/>
  <c r="J3" i="4"/>
  <c r="Q3" i="4"/>
  <c r="P3" i="4"/>
  <c r="O3" i="4"/>
  <c r="U37" i="4"/>
  <c r="M37" i="4"/>
  <c r="T37" i="4"/>
  <c r="L37" i="4"/>
  <c r="S37" i="4"/>
  <c r="K37" i="4"/>
  <c r="R37" i="4"/>
  <c r="J37" i="4"/>
  <c r="Q37" i="4"/>
  <c r="P37" i="4"/>
  <c r="O37" i="4"/>
  <c r="N37" i="4"/>
  <c r="Q28" i="4"/>
  <c r="J28" i="4"/>
  <c r="P28" i="4"/>
  <c r="O28" i="4"/>
  <c r="R28" i="4"/>
  <c r="N28" i="4"/>
  <c r="U28" i="4"/>
  <c r="M28" i="4"/>
  <c r="T28" i="4"/>
  <c r="L28" i="4"/>
  <c r="S28" i="4"/>
  <c r="K28" i="4"/>
  <c r="Q20" i="4"/>
  <c r="R20" i="4"/>
  <c r="P20" i="4"/>
  <c r="O20" i="4"/>
  <c r="J20" i="4"/>
  <c r="N20" i="4"/>
  <c r="U20" i="4"/>
  <c r="M20" i="4"/>
  <c r="T20" i="4"/>
  <c r="L20" i="4"/>
  <c r="S20" i="4"/>
  <c r="K20" i="4"/>
  <c r="Q12" i="4"/>
  <c r="R12" i="4"/>
  <c r="P12" i="4"/>
  <c r="O12" i="4"/>
  <c r="J12" i="4"/>
  <c r="N12" i="4"/>
  <c r="U12" i="4"/>
  <c r="M12" i="4"/>
  <c r="T12" i="4"/>
  <c r="L12" i="4"/>
  <c r="S12" i="4"/>
  <c r="K12" i="4"/>
  <c r="Q2" i="4"/>
  <c r="J2" i="4"/>
  <c r="P2" i="4"/>
  <c r="O2" i="4"/>
  <c r="N2" i="4"/>
  <c r="R2" i="4"/>
  <c r="U2" i="4"/>
  <c r="M2" i="4"/>
  <c r="T2" i="4"/>
  <c r="L2" i="4"/>
  <c r="S2" i="4"/>
  <c r="K2" i="4"/>
  <c r="Q36" i="4"/>
  <c r="P36" i="4"/>
  <c r="J36" i="4"/>
  <c r="O36" i="4"/>
  <c r="N36" i="4"/>
  <c r="U36" i="4"/>
  <c r="M36" i="4"/>
  <c r="T36" i="4"/>
  <c r="L36" i="4"/>
  <c r="R36" i="4"/>
  <c r="S36" i="4"/>
  <c r="K36" i="4"/>
  <c r="U27" i="4"/>
  <c r="M27" i="4"/>
  <c r="T27" i="4"/>
  <c r="L27" i="4"/>
  <c r="S27" i="4"/>
  <c r="K27" i="4"/>
  <c r="N27" i="4"/>
  <c r="R27" i="4"/>
  <c r="J27" i="4"/>
  <c r="Q27" i="4"/>
  <c r="P27" i="4"/>
  <c r="O27" i="4"/>
  <c r="U19" i="4"/>
  <c r="M19" i="4"/>
  <c r="N19" i="4"/>
  <c r="T19" i="4"/>
  <c r="L19" i="4"/>
  <c r="S19" i="4"/>
  <c r="K19" i="4"/>
  <c r="R19" i="4"/>
  <c r="J19" i="4"/>
  <c r="Q19" i="4"/>
  <c r="P19" i="4"/>
  <c r="O19" i="4"/>
  <c r="U11" i="4"/>
  <c r="M11" i="4"/>
  <c r="N11" i="4"/>
  <c r="T11" i="4"/>
  <c r="L11" i="4"/>
  <c r="S11" i="4"/>
  <c r="K11" i="4"/>
  <c r="R11" i="4"/>
  <c r="J11" i="4"/>
  <c r="Q11" i="4"/>
  <c r="P11" i="4"/>
  <c r="O11" i="4"/>
  <c r="R41" i="4"/>
  <c r="J41" i="4"/>
  <c r="P41" i="4"/>
  <c r="O41" i="4"/>
  <c r="S41" i="4"/>
  <c r="K41" i="4"/>
  <c r="Q41" i="4"/>
  <c r="N41" i="4"/>
  <c r="U41" i="4"/>
  <c r="M41" i="4"/>
  <c r="T41" i="4"/>
  <c r="L41" i="4"/>
  <c r="O47" i="4"/>
  <c r="R47" i="4"/>
  <c r="L47" i="4"/>
  <c r="O46" i="4"/>
  <c r="N46" i="4"/>
  <c r="S46" i="4"/>
  <c r="P46" i="4"/>
  <c r="U46" i="4"/>
  <c r="M46" i="4"/>
  <c r="T46" i="4"/>
  <c r="L46" i="4"/>
  <c r="K46" i="4"/>
  <c r="R46" i="4"/>
  <c r="J46" i="4"/>
  <c r="Q46" i="4"/>
  <c r="S45" i="4"/>
  <c r="K45" i="4"/>
  <c r="R45" i="4"/>
  <c r="J45" i="4"/>
  <c r="P45" i="4"/>
  <c r="O45" i="4"/>
  <c r="Q45" i="4"/>
  <c r="T45" i="4"/>
  <c r="N45" i="4"/>
  <c r="U45" i="4"/>
  <c r="M45" i="4"/>
  <c r="L45" i="4"/>
  <c r="U52" i="4"/>
  <c r="T52" i="4"/>
  <c r="L52" i="4"/>
  <c r="K52" i="4"/>
  <c r="S52" i="4"/>
  <c r="R52" i="4"/>
  <c r="Q52" i="4"/>
  <c r="P52" i="4"/>
  <c r="J52" i="4"/>
  <c r="O52" i="4"/>
  <c r="N52" i="4"/>
  <c r="M52" i="4"/>
  <c r="U44" i="4"/>
  <c r="T44" i="4"/>
  <c r="L44" i="4"/>
  <c r="J44" i="4"/>
  <c r="S44" i="4"/>
  <c r="K44" i="4"/>
  <c r="R44" i="4"/>
  <c r="Q44" i="4"/>
  <c r="P44" i="4"/>
  <c r="O44" i="4"/>
  <c r="N44" i="4"/>
  <c r="M44" i="4"/>
  <c r="U42" i="4"/>
  <c r="M42" i="4"/>
  <c r="T42" i="4"/>
  <c r="L42" i="4"/>
  <c r="S42" i="4"/>
  <c r="K42" i="4"/>
  <c r="R42" i="4"/>
  <c r="J42" i="4"/>
  <c r="P42" i="4"/>
  <c r="O42" i="4"/>
  <c r="Q42" i="4"/>
  <c r="N42" i="4"/>
  <c r="U38" i="4"/>
  <c r="S38" i="4"/>
  <c r="Q38" i="4"/>
  <c r="P38" i="4"/>
  <c r="N38" i="4"/>
  <c r="M38" i="4"/>
  <c r="L38" i="4"/>
  <c r="R38" i="4"/>
  <c r="J38" i="4"/>
  <c r="O38" i="4"/>
  <c r="T38" i="4"/>
  <c r="K38" i="4"/>
  <c r="T54" i="4"/>
  <c r="L54" i="4"/>
  <c r="S54" i="4"/>
  <c r="K54" i="4"/>
  <c r="Q54" i="4"/>
  <c r="P54" i="4"/>
  <c r="R54" i="4"/>
  <c r="J54" i="4"/>
  <c r="O54" i="4"/>
  <c r="N54" i="4"/>
  <c r="U54" i="4"/>
  <c r="M54" i="4"/>
  <c r="U43" i="4"/>
  <c r="T43" i="4"/>
  <c r="L43" i="4"/>
  <c r="S43" i="4"/>
  <c r="K43" i="4"/>
  <c r="R43" i="4"/>
  <c r="J43" i="4"/>
  <c r="P43" i="4"/>
  <c r="Q43" i="4"/>
  <c r="O43" i="4"/>
  <c r="N43" i="4"/>
  <c r="M43" i="4"/>
  <c r="T51" i="4"/>
  <c r="L51" i="4"/>
  <c r="R51" i="4"/>
  <c r="J51" i="4"/>
  <c r="P51" i="4"/>
  <c r="Q51" i="4"/>
  <c r="O51" i="4"/>
  <c r="N51" i="4"/>
  <c r="U51" i="4"/>
  <c r="M51" i="4"/>
  <c r="S51" i="4"/>
  <c r="K51" i="4"/>
  <c r="U48" i="4"/>
  <c r="M48" i="4"/>
  <c r="T48" i="4"/>
  <c r="L48" i="4"/>
  <c r="P48" i="4"/>
  <c r="S48" i="4"/>
  <c r="K48" i="4"/>
  <c r="R48" i="4"/>
  <c r="J48" i="4"/>
  <c r="O48" i="4"/>
  <c r="Q48" i="4"/>
  <c r="N48" i="4"/>
  <c r="U39" i="4"/>
  <c r="M39" i="4"/>
  <c r="T39" i="4"/>
  <c r="L39" i="4"/>
  <c r="N39" i="4"/>
  <c r="S39" i="4"/>
  <c r="K39" i="4"/>
  <c r="R39" i="4"/>
  <c r="J39" i="4"/>
  <c r="O39" i="4"/>
  <c r="Q39" i="4"/>
  <c r="P39" i="4"/>
  <c r="Q40" i="4"/>
  <c r="T40" i="4"/>
  <c r="K40" i="4"/>
  <c r="J40" i="4"/>
  <c r="P40" i="4"/>
  <c r="O40" i="4"/>
  <c r="N40" i="4"/>
  <c r="U40" i="4"/>
  <c r="M40" i="4"/>
  <c r="L40" i="4"/>
  <c r="S40" i="4"/>
  <c r="R40" i="4"/>
  <c r="N49" i="4"/>
  <c r="U49" i="4"/>
  <c r="M49" i="4"/>
  <c r="T49" i="4"/>
  <c r="L49" i="4"/>
  <c r="O49" i="4"/>
  <c r="S49" i="4"/>
  <c r="K49" i="4"/>
  <c r="R49" i="4"/>
  <c r="J49" i="4"/>
  <c r="P49" i="4"/>
  <c r="Q49" i="4"/>
  <c r="U53" i="4"/>
  <c r="M53" i="4"/>
  <c r="T53" i="4"/>
  <c r="L53" i="4"/>
  <c r="O53" i="4"/>
  <c r="S53" i="4"/>
  <c r="K53" i="4"/>
  <c r="R53" i="4"/>
  <c r="J53" i="4"/>
  <c r="P53" i="4"/>
  <c r="Q53" i="4"/>
  <c r="N53" i="4"/>
  <c r="V47" i="4" l="1"/>
  <c r="V46" i="4"/>
  <c r="V60" i="4"/>
  <c r="V43" i="4"/>
  <c r="V41" i="4"/>
  <c r="V28" i="4"/>
  <c r="V4" i="4"/>
  <c r="V22" i="4"/>
  <c r="V49" i="4"/>
  <c r="V19" i="4"/>
  <c r="V20" i="4"/>
  <c r="V3" i="4"/>
  <c r="V21" i="4"/>
  <c r="V30" i="4"/>
  <c r="V5" i="4"/>
  <c r="V23" i="4"/>
  <c r="V7" i="4"/>
  <c r="V25" i="4"/>
  <c r="V32" i="4"/>
  <c r="V61" i="4"/>
  <c r="V39" i="4"/>
  <c r="V52" i="4"/>
  <c r="V59" i="4"/>
  <c r="V50" i="4"/>
  <c r="V40" i="4"/>
  <c r="V42" i="4"/>
  <c r="V14" i="4"/>
  <c r="V16" i="4"/>
  <c r="V18" i="4"/>
  <c r="V54" i="4"/>
  <c r="V44" i="4"/>
  <c r="V11" i="4"/>
  <c r="V27" i="4"/>
  <c r="V12" i="4"/>
  <c r="V13" i="4"/>
  <c r="V29" i="4"/>
  <c r="V31" i="4"/>
  <c r="V6" i="4"/>
  <c r="V24" i="4"/>
  <c r="V26" i="4"/>
  <c r="V10" i="4"/>
  <c r="V45" i="4"/>
  <c r="V58" i="4"/>
  <c r="V53" i="4"/>
  <c r="V48" i="4"/>
  <c r="V38" i="4"/>
  <c r="V37" i="4"/>
  <c r="V15" i="4"/>
  <c r="V17" i="4"/>
  <c r="V33" i="4"/>
  <c r="V35" i="4"/>
  <c r="V2" i="4"/>
  <c r="V51" i="4"/>
  <c r="V36" i="4"/>
  <c r="V56" i="4"/>
  <c r="V57" i="4"/>
  <c r="V63" i="4"/>
  <c r="N13" i="3" l="1"/>
  <c r="M13" i="3"/>
  <c r="L13" i="3"/>
  <c r="K13" i="3"/>
  <c r="J13" i="3"/>
  <c r="I13" i="3"/>
  <c r="H13" i="3"/>
  <c r="G13" i="3"/>
  <c r="F13" i="3"/>
  <c r="E13" i="3"/>
  <c r="D13" i="3"/>
  <c r="C13" i="3"/>
  <c r="D9" i="3"/>
  <c r="E9" i="3" s="1"/>
  <c r="F9" i="3" s="1"/>
  <c r="G9" i="3" s="1"/>
  <c r="H9" i="3" s="1"/>
  <c r="I9" i="3" s="1"/>
  <c r="J9" i="3" s="1"/>
  <c r="K9" i="3" s="1"/>
  <c r="L9" i="3" s="1"/>
  <c r="M9" i="3" s="1"/>
  <c r="N9" i="3" s="1"/>
  <c r="N7" i="3"/>
  <c r="M7" i="3"/>
  <c r="L7" i="3"/>
  <c r="K7" i="3"/>
  <c r="J7" i="3"/>
  <c r="I7" i="3"/>
  <c r="H7" i="3"/>
  <c r="G7" i="3"/>
  <c r="F7" i="3"/>
  <c r="E7" i="3"/>
  <c r="D7" i="3"/>
  <c r="C7" i="3"/>
  <c r="N6" i="3"/>
  <c r="M6" i="3"/>
  <c r="L6" i="3"/>
  <c r="K6" i="3"/>
  <c r="J6" i="3"/>
  <c r="I6" i="3"/>
  <c r="N4" i="3"/>
  <c r="M4" i="3"/>
  <c r="L4" i="3"/>
  <c r="K4" i="3"/>
  <c r="J4" i="3"/>
  <c r="I4" i="3"/>
  <c r="H4" i="3"/>
  <c r="G4" i="3"/>
  <c r="F4" i="3"/>
  <c r="E4" i="3"/>
  <c r="D4" i="3"/>
  <c r="C4" i="3"/>
  <c r="G18" i="3" l="1"/>
  <c r="N18" i="3"/>
  <c r="O6" i="3"/>
  <c r="H18" i="3"/>
  <c r="I18" i="3"/>
  <c r="J18" i="3"/>
  <c r="C18" i="3"/>
  <c r="K18" i="3"/>
  <c r="L18" i="3"/>
  <c r="M18" i="3"/>
  <c r="O13" i="3"/>
  <c r="D18" i="3"/>
  <c r="E18" i="3"/>
  <c r="F18" i="3"/>
  <c r="O7" i="3"/>
  <c r="O9" i="3"/>
  <c r="O18" i="3" l="1"/>
  <c r="O10" i="3"/>
  <c r="O4" i="3"/>
  <c r="D5" i="1" l="1"/>
  <c r="D4" i="1"/>
  <c r="I3" i="1"/>
  <c r="D3" i="1"/>
  <c r="G5" i="1" l="1"/>
  <c r="H5" i="1" s="1"/>
  <c r="G4" i="1"/>
  <c r="J3" i="1" l="1"/>
  <c r="J4" i="1"/>
  <c r="J5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tc={4B154F7B-9DB4-4FC6-AE04-1ECE3177F08C}</author>
    <author>tc={8B11B346-6B2D-445A-9FBB-9818F49EE66C}</author>
  </authors>
  <commentList>
    <comment ref="G5" authorId="0" shapeId="0" xr:uid="{4B154F7B-9DB4-4FC6-AE04-1ECE3177F0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TMS</t>
      </text>
    </comment>
    <comment ref="E6" authorId="1" shapeId="0" xr:uid="{8B11B346-6B2D-445A-9FBB-9818F49EE66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ERP SPV</t>
      </text>
    </comment>
  </commentList>
</comments>
</file>

<file path=xl/sharedStrings.xml><?xml version="1.0" encoding="utf-8"?>
<sst xmlns="http://schemas.openxmlformats.org/spreadsheetml/2006/main" count="364" uniqueCount="183">
  <si>
    <t>METIER</t>
  </si>
  <si>
    <t>FONCTION</t>
  </si>
  <si>
    <t>SALARIE</t>
  </si>
  <si>
    <t>Salaire 01-03</t>
  </si>
  <si>
    <t>Bonus</t>
  </si>
  <si>
    <t>Bonus new</t>
  </si>
  <si>
    <t>Charges %</t>
  </si>
  <si>
    <t>IT</t>
  </si>
  <si>
    <t>Ingénieur data</t>
  </si>
  <si>
    <t>BERTRAND Valentin</t>
  </si>
  <si>
    <t>Resp projet ERP</t>
  </si>
  <si>
    <t>MOLTO Hugues</t>
  </si>
  <si>
    <t>Technicien IT</t>
  </si>
  <si>
    <t>PERSAD Ranjit</t>
  </si>
  <si>
    <t>Refac 30%</t>
  </si>
  <si>
    <t>LUCAS Bruno</t>
  </si>
  <si>
    <t>Salaire 04-12</t>
  </si>
  <si>
    <t>01/26</t>
  </si>
  <si>
    <t>02/26</t>
  </si>
  <si>
    <t>03/26</t>
  </si>
  <si>
    <t>04/26</t>
  </si>
  <si>
    <t>05/26</t>
  </si>
  <si>
    <t>06/26</t>
  </si>
  <si>
    <t>07/26</t>
  </si>
  <si>
    <t>08/26</t>
  </si>
  <si>
    <t>09/26</t>
  </si>
  <si>
    <t>10/26</t>
  </si>
  <si>
    <t>11/26</t>
  </si>
  <si>
    <t>12/26</t>
  </si>
  <si>
    <t>Ancienneté</t>
  </si>
  <si>
    <t>Sa prime d'ancienneté passe de 0 à 2%</t>
  </si>
  <si>
    <t>Total</t>
  </si>
  <si>
    <t>€</t>
  </si>
  <si>
    <t>Description</t>
  </si>
  <si>
    <t>Immo en cours 2025</t>
  </si>
  <si>
    <t>Espace client</t>
  </si>
  <si>
    <t>Achat PC</t>
  </si>
  <si>
    <t>Nouvelles licences Divalto</t>
  </si>
  <si>
    <t>Projets 2026</t>
  </si>
  <si>
    <t>Serveurs fin 2026</t>
  </si>
  <si>
    <t>lucanet</t>
  </si>
  <si>
    <t>outil Achats</t>
  </si>
  <si>
    <t>3 nouveaux PC par mois. Moyenne entre Heliaq et Nirwana</t>
  </si>
  <si>
    <t>1 full + 1 gestionnaire chaque trimestre</t>
  </si>
  <si>
    <t>Catégorie</t>
  </si>
  <si>
    <t>2e niveau</t>
  </si>
  <si>
    <t>3e niveau</t>
  </si>
  <si>
    <t>Tarif</t>
  </si>
  <si>
    <t>Nb</t>
  </si>
  <si>
    <t>Commentaires</t>
  </si>
  <si>
    <t>Users</t>
  </si>
  <si>
    <t>Licence office 365</t>
  </si>
  <si>
    <t>Coûts mensuels</t>
  </si>
  <si>
    <t>MS365/TeamsPrem</t>
  </si>
  <si>
    <t>MS365/PowApps/Prem</t>
  </si>
  <si>
    <t>MS365/PowAuto/Prem</t>
  </si>
  <si>
    <t>MS365/PWRBIPrem/1M</t>
  </si>
  <si>
    <t>Licence Power BI pro</t>
  </si>
  <si>
    <t>2 sur facture mai, 4 selon VBE</t>
  </si>
  <si>
    <t>Licence Power BI module CDG</t>
  </si>
  <si>
    <t>Ad 360 (antivirus)</t>
  </si>
  <si>
    <t>Employés + VM</t>
  </si>
  <si>
    <t>Bit locker</t>
  </si>
  <si>
    <t>Hébergement Bitwarden</t>
  </si>
  <si>
    <t>Licences Bitwarden</t>
  </si>
  <si>
    <t>Vadesecure 2025</t>
  </si>
  <si>
    <t>Lorsqu'on aura terminé la migration W</t>
  </si>
  <si>
    <t>AuthPoint (MFA)</t>
  </si>
  <si>
    <t>Teams phone</t>
  </si>
  <si>
    <t>Réseau</t>
  </si>
  <si>
    <t>Veeam (sauvegarde)</t>
  </si>
  <si>
    <t># sauvegardes</t>
  </si>
  <si>
    <t>Veeam (replicat)</t>
  </si>
  <si>
    <t># sauvegardes envoyées à BGN</t>
  </si>
  <si>
    <t>DcStor (stckage cloud 1to)</t>
  </si>
  <si>
    <t>machines stockées en cloud, 20 Tera</t>
  </si>
  <si>
    <t>Veeam (backup O365)</t>
  </si>
  <si>
    <t>Hébergement MySQL</t>
  </si>
  <si>
    <t>Pour héberger les données SPV pour SCM</t>
  </si>
  <si>
    <t>Stockage fixe</t>
  </si>
  <si>
    <t>Part fixe pour SCM</t>
  </si>
  <si>
    <t>IP+Vlan dédié pour MV</t>
  </si>
  <si>
    <t>Part variable, augmente si date augmente, SCM</t>
  </si>
  <si>
    <t>DC reserve CPU</t>
  </si>
  <si>
    <t>DC reserve RAM</t>
  </si>
  <si>
    <t>DC Vlan isolé+accès VPN</t>
  </si>
  <si>
    <t>DC Vlan sp+règle FW</t>
  </si>
  <si>
    <t>DC IP publique dédiée</t>
  </si>
  <si>
    <t>BW/Tenant</t>
  </si>
  <si>
    <t>Location T80</t>
  </si>
  <si>
    <t>Tarif valable sur 5 ans</t>
  </si>
  <si>
    <t>Location T40</t>
  </si>
  <si>
    <t>Maintenance</t>
  </si>
  <si>
    <t>Nirwana</t>
  </si>
  <si>
    <t>Infogérance mensuelle</t>
  </si>
  <si>
    <t>Amazon</t>
  </si>
  <si>
    <t>Accessoires IT</t>
  </si>
  <si>
    <t>Téléphonie</t>
  </si>
  <si>
    <t>Foliateam</t>
  </si>
  <si>
    <t>1 abonnement + 24 SDA et 11 licences Teams. (TNG)</t>
  </si>
  <si>
    <t>Doubletrade</t>
  </si>
  <si>
    <t>Licences Autocad</t>
  </si>
  <si>
    <t>Marion Pavat, 1 facture annuelle</t>
  </si>
  <si>
    <t>Adobe</t>
  </si>
  <si>
    <t>Dans les frais marketing</t>
  </si>
  <si>
    <t>Anydesk</t>
  </si>
  <si>
    <t>Connexion à distance</t>
  </si>
  <si>
    <t>Nanosystem</t>
  </si>
  <si>
    <t>Supremo</t>
  </si>
  <si>
    <t>PROCONSULTEAM</t>
  </si>
  <si>
    <t>Etats financiers</t>
  </si>
  <si>
    <t>Bright fastspring</t>
  </si>
  <si>
    <t>Image reducer</t>
  </si>
  <si>
    <t>Ceciaa</t>
  </si>
  <si>
    <t>Zoom text</t>
  </si>
  <si>
    <t>Aleas</t>
  </si>
  <si>
    <t>Interventions non planifiées</t>
  </si>
  <si>
    <t>EBP</t>
  </si>
  <si>
    <t>Yousign</t>
  </si>
  <si>
    <t>Compte Keon</t>
  </si>
  <si>
    <t>2 comptes</t>
  </si>
  <si>
    <t>Pentest</t>
  </si>
  <si>
    <t>ARCGIS</t>
  </si>
  <si>
    <t>One line creator, ESRI France</t>
  </si>
  <si>
    <t>AWS pour l'exploit et l'hébergement</t>
  </si>
  <si>
    <t>Copilot</t>
  </si>
  <si>
    <t>Licences</t>
  </si>
  <si>
    <t>6 licences IA pour Codir</t>
  </si>
  <si>
    <t>Exalog Cegid</t>
  </si>
  <si>
    <t>Coût mensuel</t>
  </si>
  <si>
    <t>Car augmentation du # de SPV</t>
  </si>
  <si>
    <t>E-attestation</t>
  </si>
  <si>
    <t>Aprovall</t>
  </si>
  <si>
    <t>Conformité Achats, Alexandre</t>
  </si>
  <si>
    <t>IT ERP</t>
  </si>
  <si>
    <t>Lucca</t>
  </si>
  <si>
    <t>Démarrage 2025</t>
  </si>
  <si>
    <t>Divalto</t>
  </si>
  <si>
    <t>Abonnements</t>
  </si>
  <si>
    <t>Derniers CCA ITP + Tenor</t>
  </si>
  <si>
    <t>Support IT project</t>
  </si>
  <si>
    <t>Support ERP</t>
  </si>
  <si>
    <t>Yooz</t>
  </si>
  <si>
    <t>Abonnement mensuel</t>
  </si>
  <si>
    <t>BLC Pipedrive</t>
  </si>
  <si>
    <t>CreditSafe</t>
  </si>
  <si>
    <t>Par mois, contrat de 2 ans de juin 24 à mai 26</t>
  </si>
  <si>
    <t>Inflation</t>
  </si>
  <si>
    <t>2188€ sur 6 mois</t>
  </si>
  <si>
    <t>Facture 2025 pas encore reçue. Opportunité ?</t>
  </si>
  <si>
    <t>Corinne</t>
  </si>
  <si>
    <t>Acheté en 2024</t>
  </si>
  <si>
    <t>Maintenance DELL SERVEUR POWEREDGE R730</t>
  </si>
  <si>
    <t>Payé à l'année, traité en CCA. Pas vu en 2025</t>
  </si>
  <si>
    <t>A voir si Coline l'adopte. Pas vu à fin juin</t>
  </si>
  <si>
    <t>Keon</t>
  </si>
  <si>
    <t>Teikei</t>
  </si>
  <si>
    <t>On devrait avoir finalisé le pont d'ici le 31/12/25</t>
  </si>
  <si>
    <t>CRM pont</t>
  </si>
  <si>
    <t>CRM refonte</t>
  </si>
  <si>
    <t>Fin 30 novembre 29</t>
  </si>
  <si>
    <t>Pour Bellis uniquement !</t>
  </si>
  <si>
    <t>On arrête Gleanquote décision 11/25</t>
  </si>
  <si>
    <t>Project + Planner</t>
  </si>
  <si>
    <t>Valentin revoit à la baisse le 11/25</t>
  </si>
  <si>
    <t>1er jet. On attend la vraie offre pour éventuellement revoir à la baisse</t>
  </si>
  <si>
    <t>MS365 Crédit IA</t>
  </si>
  <si>
    <t>Crédits IA additionnels pour VBE pour les agents</t>
  </si>
  <si>
    <t>Chat GPT version payante</t>
  </si>
  <si>
    <t>Utilisée par Valentin</t>
  </si>
  <si>
    <t>Juste 1 licence puisque les crédits IA sont payés par ailleurs</t>
  </si>
  <si>
    <t>Et actions additionnelles de sécurisation</t>
  </si>
  <si>
    <t>A déterminer : cf. offre de Nirwana</t>
  </si>
  <si>
    <t>Veremes</t>
  </si>
  <si>
    <t>Abonnement outil SIG</t>
  </si>
  <si>
    <t>Frais de dev. Eux disent 12j à 1700€ HT / jour non négocié</t>
  </si>
  <si>
    <t>Budget 2026 IT Keon &amp; filiales</t>
  </si>
  <si>
    <t>Naskeo</t>
  </si>
  <si>
    <t>Keon.bio</t>
  </si>
  <si>
    <t>Sycomore</t>
  </si>
  <si>
    <t>Opex</t>
  </si>
  <si>
    <t>Capex</t>
  </si>
  <si>
    <t>Amortissement (base 10 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</si>
</sst>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0.0%"/>
    <numFmt numFmtId="165" formatCode="#,##0_ ;[Red]\-#,##0\ "/>
    <numFmt numFmtId="166" formatCode="#,##0.0_ ;[Red]\-#,##0.0\ "/>
    <numFmt numFmtId="167" formatCode="mm/yyyy"/>
    <numFmt numFmtId="168" formatCode="#,##0.00_ ;[Red]\-#,##0.00\ "/>
    <numFmt numFmtId="169" formatCode="#,##0\ &quot;€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color theme="0"/>
      <name val="Source Sans Pro"/>
      <family val="2"/>
    </font>
    <font>
      <b/>
      <sz val="10"/>
      <color theme="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i/>
      <sz val="10"/>
      <name val="Aptos Narrow"/>
      <family val="2"/>
      <scheme val="minor"/>
    </font>
    <font>
      <sz val="10"/>
      <name val="Source Sans Pro"/>
      <family val="2"/>
    </font>
    <font>
      <sz val="10"/>
      <color theme="1"/>
      <name val="Source Sans Pro"/>
      <family val="2"/>
    </font>
    <font>
      <sz val="11"/>
      <color theme="1"/>
      <name val="Source Sans Pro"/>
      <family val="2"/>
    </font>
    <font>
      <b/>
      <sz val="10"/>
      <name val="Source Sans Pro"/>
      <family val="2"/>
    </font>
    <font>
      <b/>
      <sz val="11"/>
      <color theme="1"/>
      <name val="Source Sans Pro"/>
      <family val="2"/>
    </font>
    <font>
      <u/>
      <sz val="11"/>
      <color theme="1"/>
      <name val="Source Sans Pro"/>
      <family val="2"/>
    </font>
    <font>
      <u/>
      <sz val="10"/>
      <color theme="1"/>
      <name val="Source Sans Pro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6" fillId="0" borderId="0"/>
    <xf numFmtId="44" fontId="1" fillId="0" borderId="0" applyFont="0" applyFill="0" applyBorder="0" applyAlignment="0" applyProtection="0"/>
    <xf numFmtId="0" fontId="8" fillId="0" borderId="2">
      <alignment vertical="center"/>
    </xf>
    <xf numFmtId="0" fontId="10" fillId="7" borderId="3" applyNumberFormat="0" applyAlignment="0">
      <alignment horizontal="center" vertical="center"/>
    </xf>
    <xf numFmtId="0" fontId="8" fillId="0" borderId="1">
      <alignment vertical="center"/>
    </xf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1" applyNumberFormat="1" applyFont="1"/>
    <xf numFmtId="9" fontId="0" fillId="4" borderId="0" xfId="0" applyNumberFormat="1" applyFill="1"/>
    <xf numFmtId="165" fontId="0" fillId="3" borderId="0" xfId="0" applyNumberFormat="1" applyFill="1"/>
    <xf numFmtId="0" fontId="0" fillId="2" borderId="0" xfId="0" quotePrefix="1" applyFill="1"/>
    <xf numFmtId="165" fontId="0" fillId="4" borderId="0" xfId="0" applyNumberFormat="1" applyFill="1"/>
    <xf numFmtId="165" fontId="0" fillId="0" borderId="0" xfId="0" applyNumberFormat="1"/>
    <xf numFmtId="166" fontId="0" fillId="0" borderId="0" xfId="0" applyNumberFormat="1"/>
    <xf numFmtId="167" fontId="3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right"/>
    </xf>
    <xf numFmtId="165" fontId="3" fillId="0" borderId="0" xfId="0" applyNumberFormat="1" applyFont="1"/>
    <xf numFmtId="0" fontId="3" fillId="0" borderId="0" xfId="0" applyFont="1"/>
    <xf numFmtId="0" fontId="3" fillId="3" borderId="0" xfId="0" applyFont="1" applyFill="1"/>
    <xf numFmtId="165" fontId="3" fillId="3" borderId="0" xfId="0" applyNumberFormat="1" applyFont="1" applyFill="1"/>
    <xf numFmtId="168" fontId="3" fillId="2" borderId="0" xfId="0" applyNumberFormat="1" applyFont="1" applyFill="1" applyAlignment="1">
      <alignment horizontal="center"/>
    </xf>
    <xf numFmtId="168" fontId="0" fillId="0" borderId="0" xfId="0" applyNumberFormat="1"/>
    <xf numFmtId="168" fontId="0" fillId="3" borderId="0" xfId="0" applyNumberFormat="1" applyFill="1"/>
    <xf numFmtId="9" fontId="3" fillId="2" borderId="0" xfId="1" applyFont="1" applyFill="1" applyAlignment="1">
      <alignment horizontal="center"/>
    </xf>
    <xf numFmtId="9" fontId="0" fillId="3" borderId="0" xfId="1" applyFont="1" applyFill="1"/>
    <xf numFmtId="9" fontId="0" fillId="0" borderId="0" xfId="1" applyFont="1"/>
    <xf numFmtId="165" fontId="0" fillId="5" borderId="0" xfId="0" applyNumberFormat="1" applyFill="1"/>
    <xf numFmtId="164" fontId="0" fillId="4" borderId="0" xfId="0" applyNumberFormat="1" applyFill="1"/>
    <xf numFmtId="0" fontId="5" fillId="0" borderId="0" xfId="0" applyFont="1"/>
    <xf numFmtId="0" fontId="7" fillId="6" borderId="0" xfId="0" applyFont="1" applyFill="1"/>
    <xf numFmtId="0" fontId="9" fillId="6" borderId="0" xfId="4" applyFont="1" applyFill="1" applyBorder="1">
      <alignment vertical="center"/>
    </xf>
    <xf numFmtId="3" fontId="11" fillId="8" borderId="4" xfId="5" applyNumberFormat="1" applyFont="1" applyFill="1" applyBorder="1" applyAlignment="1">
      <alignment vertical="center"/>
    </xf>
    <xf numFmtId="3" fontId="12" fillId="8" borderId="4" xfId="5" applyNumberFormat="1" applyFont="1" applyFill="1" applyBorder="1" applyAlignment="1">
      <alignment vertical="center"/>
    </xf>
    <xf numFmtId="0" fontId="11" fillId="7" borderId="4" xfId="6" applyFont="1" applyFill="1" applyBorder="1" applyAlignment="1">
      <alignment horizontal="center" vertical="center"/>
    </xf>
    <xf numFmtId="0" fontId="11" fillId="8" borderId="4" xfId="6" applyFont="1" applyFill="1" applyBorder="1" applyAlignment="1">
      <alignment horizontal="center" vertical="center"/>
    </xf>
    <xf numFmtId="0" fontId="13" fillId="0" borderId="0" xfId="0" applyFont="1" applyAlignment="1" applyProtection="1">
      <alignment vertical="center"/>
      <protection locked="0"/>
    </xf>
    <xf numFmtId="169" fontId="14" fillId="0" borderId="0" xfId="3" applyNumberFormat="1" applyFont="1" applyFill="1"/>
    <xf numFmtId="165" fontId="15" fillId="0" borderId="0" xfId="0" applyNumberFormat="1" applyFont="1"/>
    <xf numFmtId="165" fontId="14" fillId="0" borderId="0" xfId="3" applyNumberFormat="1" applyFont="1" applyFill="1"/>
    <xf numFmtId="165" fontId="13" fillId="0" borderId="0" xfId="0" applyNumberFormat="1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165" fontId="17" fillId="0" borderId="0" xfId="0" applyNumberFormat="1" applyFont="1"/>
    <xf numFmtId="165" fontId="18" fillId="0" borderId="0" xfId="0" applyNumberFormat="1" applyFont="1"/>
    <xf numFmtId="165" fontId="19" fillId="0" borderId="0" xfId="3" applyNumberFormat="1" applyFont="1" applyFill="1"/>
  </cellXfs>
  <cellStyles count="7">
    <cellStyle name="FNG_Heading_3" xfId="4" xr:uid="{DC4563D6-E8E1-4021-9D71-A9AEED7818E8}"/>
    <cellStyle name="FNG_Heading_4" xfId="6" xr:uid="{DB3740CE-8DE1-4649-8152-0A7DFD032E1F}"/>
    <cellStyle name="FNG_OtherSheet" xfId="5" xr:uid="{A6970FEE-70DF-48F2-8986-12FB6E54B129}"/>
    <cellStyle name="Monétaire" xfId="3" builtinId="4"/>
    <cellStyle name="Normal" xfId="0" builtinId="0"/>
    <cellStyle name="Normal 2" xfId="2" xr:uid="{CCA3D3F5-2D94-4C2D-8D40-4EF5849E3507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22</xdr:row>
      <xdr:rowOff>68580</xdr:rowOff>
    </xdr:from>
    <xdr:to>
      <xdr:col>16</xdr:col>
      <xdr:colOff>0</xdr:colOff>
      <xdr:row>48</xdr:row>
      <xdr:rowOff>137160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554498C-E0A1-1FBE-7F2B-969BE029C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4091940"/>
          <a:ext cx="13738860" cy="482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trick Foltzenlogel" id="{761163E7-9424-44FA-B814-B4BFA2F5198C}" userId="S::patrick.foltzenlogel@keon-group.com::8d696a77-1ef6-4167-b76e-bbfeaa0afb7f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6-01-08T10:45:54.49" personId="{761163E7-9424-44FA-B814-B4BFA2F5198C}" id="{4B154F7B-9DB4-4FC6-AE04-1ECE3177F08C}">
    <text>TMS</text>
  </threadedComment>
  <threadedComment ref="E6" dT="2026-01-08T10:43:04.64" personId="{761163E7-9424-44FA-B814-B4BFA2F5198C}" id="{8B11B346-6B2D-445A-9FBB-9818F49EE66C}">
    <text>ERP SPV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E9AB-4CC0-43E3-9404-1451090FCB48}">
  <sheetPr>
    <tabColor theme="0"/>
  </sheetPr>
  <dimension ref="A1:W6"/>
  <sheetViews>
    <sheetView workbookViewId="0">
      <pane xSplit="3" ySplit="2" topLeftCell="D3" activePane="bottomRight" state="frozen"/>
      <selection activeCell="A24" sqref="A24"/>
      <selection pane="topRight" activeCell="A24" sqref="A24"/>
      <selection pane="bottomLeft" activeCell="A24" sqref="A24"/>
      <selection pane="bottomRight" activeCell="F4" sqref="F4"/>
    </sheetView>
  </sheetViews>
  <sheetFormatPr baseColWidth="10" defaultRowHeight="15" x14ac:dyDescent="0.25"/>
  <cols>
    <col min="3" max="3" width="29.42578125" bestFit="1" customWidth="1"/>
    <col min="11" max="22" width="8.28515625" customWidth="1"/>
  </cols>
  <sheetData>
    <row r="1" spans="1:23" x14ac:dyDescent="0.25">
      <c r="G1" s="23">
        <v>5.0000000000000001E-3</v>
      </c>
      <c r="H1" s="4"/>
      <c r="I1" s="4">
        <v>0.85</v>
      </c>
    </row>
    <row r="2" spans="1:2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29</v>
      </c>
      <c r="F2" s="1" t="s">
        <v>4</v>
      </c>
      <c r="G2" s="1" t="s">
        <v>16</v>
      </c>
      <c r="H2" s="1" t="s">
        <v>29</v>
      </c>
      <c r="I2" s="1" t="s">
        <v>5</v>
      </c>
      <c r="J2" s="1" t="s">
        <v>6</v>
      </c>
      <c r="K2" s="6" t="s">
        <v>17</v>
      </c>
      <c r="L2" s="6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6" t="s">
        <v>23</v>
      </c>
      <c r="R2" s="6" t="s">
        <v>24</v>
      </c>
      <c r="S2" s="6" t="s">
        <v>25</v>
      </c>
      <c r="T2" s="6" t="s">
        <v>26</v>
      </c>
      <c r="U2" s="6" t="s">
        <v>27</v>
      </c>
      <c r="V2" s="6" t="s">
        <v>28</v>
      </c>
    </row>
    <row r="3" spans="1:23" x14ac:dyDescent="0.25">
      <c r="A3" s="2" t="s">
        <v>7</v>
      </c>
      <c r="B3" s="2" t="s">
        <v>8</v>
      </c>
      <c r="C3" s="2" t="s">
        <v>9</v>
      </c>
      <c r="D3" s="8">
        <f>4961.53*13</f>
        <v>64499.89</v>
      </c>
      <c r="E3" s="8"/>
      <c r="F3" s="8">
        <v>5000</v>
      </c>
      <c r="G3" s="5">
        <v>66000</v>
      </c>
      <c r="H3" s="5"/>
      <c r="I3" s="5">
        <f>F3</f>
        <v>5000</v>
      </c>
      <c r="J3" s="3">
        <f t="shared" ref="J3:J6" si="0">ROUNDUP(736803/1848115,2)</f>
        <v>0.4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</row>
    <row r="4" spans="1:23" x14ac:dyDescent="0.25">
      <c r="A4" s="2" t="s">
        <v>7</v>
      </c>
      <c r="B4" s="2" t="s">
        <v>10</v>
      </c>
      <c r="C4" s="2" t="s">
        <v>11</v>
      </c>
      <c r="D4" s="8">
        <f>4001.15*13</f>
        <v>52014.950000000004</v>
      </c>
      <c r="E4" s="8"/>
      <c r="F4" s="8"/>
      <c r="G4" s="7">
        <f>D4*(1+G$1)</f>
        <v>52275.024749999997</v>
      </c>
      <c r="H4" s="7"/>
      <c r="I4" s="7"/>
      <c r="J4" s="3">
        <f t="shared" si="0"/>
        <v>0.4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</row>
    <row r="5" spans="1:23" x14ac:dyDescent="0.25">
      <c r="A5" s="2" t="s">
        <v>7</v>
      </c>
      <c r="B5" s="2" t="s">
        <v>12</v>
      </c>
      <c r="C5" s="2" t="s">
        <v>13</v>
      </c>
      <c r="D5" s="8">
        <f>2719.23*13</f>
        <v>35349.99</v>
      </c>
      <c r="E5" s="8">
        <v>604.07565030933324</v>
      </c>
      <c r="F5" s="8"/>
      <c r="G5" s="7">
        <f>D5*(1+G$1)</f>
        <v>35526.739949999996</v>
      </c>
      <c r="H5" s="7">
        <f>E5/D5*G5</f>
        <v>607.09602856087986</v>
      </c>
      <c r="I5" s="7"/>
      <c r="J5" s="3">
        <f t="shared" si="0"/>
        <v>0.4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9">
        <v>1</v>
      </c>
      <c r="W5" t="s">
        <v>30</v>
      </c>
    </row>
    <row r="6" spans="1:23" x14ac:dyDescent="0.25">
      <c r="A6" s="2" t="s">
        <v>7</v>
      </c>
      <c r="B6" s="2" t="s">
        <v>14</v>
      </c>
      <c r="C6" s="2" t="s">
        <v>15</v>
      </c>
      <c r="D6" s="7">
        <f>57570*30%</f>
        <v>17271</v>
      </c>
      <c r="E6" s="7"/>
      <c r="F6" s="7"/>
      <c r="G6" s="7">
        <f>59000*30%</f>
        <v>17700</v>
      </c>
      <c r="H6" s="7"/>
      <c r="I6" s="7"/>
      <c r="J6" s="3">
        <f t="shared" si="0"/>
        <v>0.4</v>
      </c>
      <c r="K6" s="9">
        <v>1E-4</v>
      </c>
      <c r="L6" s="9">
        <v>1E-4</v>
      </c>
      <c r="M6" s="9">
        <v>1E-4</v>
      </c>
      <c r="N6" s="9">
        <v>1E-4</v>
      </c>
      <c r="O6" s="9">
        <v>1E-4</v>
      </c>
      <c r="P6" s="9">
        <v>1E-4</v>
      </c>
      <c r="Q6" s="9">
        <v>1E-4</v>
      </c>
      <c r="R6" s="9">
        <v>1E-4</v>
      </c>
      <c r="S6" s="9">
        <v>1E-4</v>
      </c>
      <c r="T6" s="9">
        <v>1E-4</v>
      </c>
      <c r="U6" s="9">
        <v>1E-4</v>
      </c>
      <c r="V6" s="9">
        <v>1E-4</v>
      </c>
    </row>
  </sheetData>
  <autoFilter ref="A2:W6" xr:uid="{D1FEE9AB-4CC0-43E3-9404-1451090FCB48}"/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50EA-BBAB-437B-801B-4AD2D488F0B6}">
  <sheetPr>
    <tabColor theme="0"/>
  </sheetPr>
  <dimension ref="A1:X63"/>
  <sheetViews>
    <sheetView tabSelected="1" workbookViewId="0">
      <pane xSplit="9" ySplit="1" topLeftCell="O2" activePane="bottomRight" state="frozen"/>
      <selection activeCell="A24" sqref="A24"/>
      <selection pane="topRight" activeCell="A24" sqref="A24"/>
      <selection pane="bottomLeft" activeCell="A24" sqref="A24"/>
      <selection pane="bottomRight" activeCell="V2" sqref="V2:V3"/>
    </sheetView>
  </sheetViews>
  <sheetFormatPr baseColWidth="10" defaultRowHeight="15" x14ac:dyDescent="0.25"/>
  <cols>
    <col min="1" max="1" width="10.7109375" customWidth="1"/>
    <col min="2" max="2" width="16.42578125" customWidth="1"/>
    <col min="3" max="3" width="17" customWidth="1"/>
    <col min="4" max="4" width="34.28515625" bestFit="1" customWidth="1"/>
    <col min="5" max="5" width="12.140625" style="17" bestFit="1" customWidth="1"/>
    <col min="6" max="6" width="6.85546875" style="17" bestFit="1" customWidth="1"/>
    <col min="7" max="7" width="6.85546875" style="21" customWidth="1"/>
    <col min="8" max="8" width="12.140625" style="17" bestFit="1" customWidth="1"/>
    <col min="9" max="9" width="43" bestFit="1" customWidth="1"/>
    <col min="10" max="21" width="7.7109375" bestFit="1" customWidth="1"/>
    <col min="22" max="22" width="9.5703125" bestFit="1" customWidth="1"/>
  </cols>
  <sheetData>
    <row r="1" spans="1:24" x14ac:dyDescent="0.25">
      <c r="A1" s="10" t="s">
        <v>44</v>
      </c>
      <c r="B1" s="10" t="s">
        <v>45</v>
      </c>
      <c r="C1" s="10" t="s">
        <v>46</v>
      </c>
      <c r="D1" s="10" t="s">
        <v>33</v>
      </c>
      <c r="E1" s="16" t="s">
        <v>47</v>
      </c>
      <c r="F1" s="16" t="s">
        <v>48</v>
      </c>
      <c r="G1" s="19" t="s">
        <v>147</v>
      </c>
      <c r="H1" s="16" t="s">
        <v>31</v>
      </c>
      <c r="I1" s="10" t="s">
        <v>49</v>
      </c>
      <c r="J1" s="10">
        <v>46023</v>
      </c>
      <c r="K1" s="10">
        <v>46054</v>
      </c>
      <c r="L1" s="10">
        <v>46082</v>
      </c>
      <c r="M1" s="10">
        <v>46113</v>
      </c>
      <c r="N1" s="10">
        <v>46143</v>
      </c>
      <c r="O1" s="10">
        <v>46174</v>
      </c>
      <c r="P1" s="10">
        <v>46204</v>
      </c>
      <c r="Q1" s="10">
        <v>46235</v>
      </c>
      <c r="R1" s="10">
        <v>46266</v>
      </c>
      <c r="S1" s="10">
        <v>46296</v>
      </c>
      <c r="T1" s="10">
        <v>46327</v>
      </c>
      <c r="U1" s="10">
        <v>46357</v>
      </c>
      <c r="V1" s="10" t="s">
        <v>31</v>
      </c>
    </row>
    <row r="2" spans="1:24" x14ac:dyDescent="0.25">
      <c r="A2" s="2" t="s">
        <v>7</v>
      </c>
      <c r="B2" s="2" t="s">
        <v>7</v>
      </c>
      <c r="C2" s="2" t="s">
        <v>50</v>
      </c>
      <c r="D2" s="2" t="s">
        <v>51</v>
      </c>
      <c r="E2" s="18">
        <v>6.72</v>
      </c>
      <c r="F2" s="18">
        <v>19</v>
      </c>
      <c r="G2" s="20"/>
      <c r="H2" s="17">
        <f t="shared" ref="H2:H63" si="0">E2*(F2+G2)</f>
        <v>127.67999999999999</v>
      </c>
      <c r="I2" s="2" t="s">
        <v>52</v>
      </c>
      <c r="J2" s="8">
        <f t="shared" ref="J2:U25" si="1">$H2</f>
        <v>127.67999999999999</v>
      </c>
      <c r="K2" s="8">
        <f t="shared" si="1"/>
        <v>127.67999999999999</v>
      </c>
      <c r="L2" s="8">
        <f t="shared" si="1"/>
        <v>127.67999999999999</v>
      </c>
      <c r="M2" s="8">
        <f t="shared" si="1"/>
        <v>127.67999999999999</v>
      </c>
      <c r="N2" s="8">
        <f t="shared" si="1"/>
        <v>127.67999999999999</v>
      </c>
      <c r="O2" s="8">
        <f t="shared" si="1"/>
        <v>127.67999999999999</v>
      </c>
      <c r="P2" s="8">
        <f t="shared" si="1"/>
        <v>127.67999999999999</v>
      </c>
      <c r="Q2" s="8">
        <f t="shared" si="1"/>
        <v>127.67999999999999</v>
      </c>
      <c r="R2" s="8">
        <f t="shared" si="1"/>
        <v>127.67999999999999</v>
      </c>
      <c r="S2" s="8">
        <f t="shared" si="1"/>
        <v>127.67999999999999</v>
      </c>
      <c r="T2" s="8">
        <f t="shared" si="1"/>
        <v>127.67999999999999</v>
      </c>
      <c r="U2" s="8">
        <f t="shared" si="1"/>
        <v>127.67999999999999</v>
      </c>
      <c r="V2" s="8">
        <f t="shared" ref="V2:V63" si="2">SUM(J2:U2)</f>
        <v>1532.16</v>
      </c>
    </row>
    <row r="3" spans="1:24" x14ac:dyDescent="0.25">
      <c r="A3" s="2" t="s">
        <v>7</v>
      </c>
      <c r="B3" s="2" t="s">
        <v>7</v>
      </c>
      <c r="C3" s="2" t="s">
        <v>50</v>
      </c>
      <c r="D3" s="2" t="s">
        <v>51</v>
      </c>
      <c r="E3" s="18">
        <v>11.7</v>
      </c>
      <c r="F3" s="18">
        <v>140</v>
      </c>
      <c r="G3" s="20"/>
      <c r="H3" s="17">
        <f t="shared" si="0"/>
        <v>1638</v>
      </c>
      <c r="I3" s="2" t="s">
        <v>52</v>
      </c>
      <c r="J3" s="8">
        <f t="shared" si="1"/>
        <v>1638</v>
      </c>
      <c r="K3" s="8">
        <f t="shared" si="1"/>
        <v>1638</v>
      </c>
      <c r="L3" s="8">
        <f t="shared" si="1"/>
        <v>1638</v>
      </c>
      <c r="M3" s="8">
        <f t="shared" si="1"/>
        <v>1638</v>
      </c>
      <c r="N3" s="8">
        <f t="shared" si="1"/>
        <v>1638</v>
      </c>
      <c r="O3" s="8">
        <f t="shared" si="1"/>
        <v>1638</v>
      </c>
      <c r="P3" s="8">
        <f t="shared" si="1"/>
        <v>1638</v>
      </c>
      <c r="Q3" s="8">
        <f t="shared" si="1"/>
        <v>1638</v>
      </c>
      <c r="R3" s="8">
        <f t="shared" si="1"/>
        <v>1638</v>
      </c>
      <c r="S3" s="8">
        <f t="shared" si="1"/>
        <v>1638</v>
      </c>
      <c r="T3" s="8">
        <f t="shared" si="1"/>
        <v>1638</v>
      </c>
      <c r="U3" s="8">
        <f t="shared" si="1"/>
        <v>1638</v>
      </c>
      <c r="V3" s="8">
        <f t="shared" si="2"/>
        <v>19656</v>
      </c>
    </row>
    <row r="4" spans="1:24" x14ac:dyDescent="0.25">
      <c r="A4" s="2" t="s">
        <v>7</v>
      </c>
      <c r="B4" s="2" t="s">
        <v>7</v>
      </c>
      <c r="C4" s="2" t="s">
        <v>50</v>
      </c>
      <c r="D4" s="2" t="s">
        <v>53</v>
      </c>
      <c r="E4" s="18">
        <v>9.4</v>
      </c>
      <c r="F4" s="18">
        <v>1</v>
      </c>
      <c r="G4" s="20"/>
      <c r="H4" s="17">
        <f t="shared" si="0"/>
        <v>9.4</v>
      </c>
      <c r="I4" s="2"/>
      <c r="J4" s="8">
        <f t="shared" si="1"/>
        <v>9.4</v>
      </c>
      <c r="K4" s="8">
        <f t="shared" si="1"/>
        <v>9.4</v>
      </c>
      <c r="L4" s="8">
        <f t="shared" si="1"/>
        <v>9.4</v>
      </c>
      <c r="M4" s="8">
        <f t="shared" si="1"/>
        <v>9.4</v>
      </c>
      <c r="N4" s="8">
        <f t="shared" si="1"/>
        <v>9.4</v>
      </c>
      <c r="O4" s="8">
        <f t="shared" si="1"/>
        <v>9.4</v>
      </c>
      <c r="P4" s="8">
        <f t="shared" si="1"/>
        <v>9.4</v>
      </c>
      <c r="Q4" s="8">
        <f t="shared" si="1"/>
        <v>9.4</v>
      </c>
      <c r="R4" s="8">
        <f t="shared" si="1"/>
        <v>9.4</v>
      </c>
      <c r="S4" s="8">
        <f t="shared" si="1"/>
        <v>9.4</v>
      </c>
      <c r="T4" s="8">
        <f t="shared" si="1"/>
        <v>9.4</v>
      </c>
      <c r="U4" s="8">
        <f t="shared" si="1"/>
        <v>9.4</v>
      </c>
      <c r="V4" s="8">
        <f t="shared" si="2"/>
        <v>112.80000000000003</v>
      </c>
    </row>
    <row r="5" spans="1:24" x14ac:dyDescent="0.25">
      <c r="A5" s="2" t="s">
        <v>7</v>
      </c>
      <c r="B5" s="2" t="s">
        <v>7</v>
      </c>
      <c r="C5" s="2" t="s">
        <v>50</v>
      </c>
      <c r="D5" s="2" t="s">
        <v>54</v>
      </c>
      <c r="E5" s="18">
        <v>18.7</v>
      </c>
      <c r="F5" s="18">
        <v>2</v>
      </c>
      <c r="G5" s="20"/>
      <c r="H5" s="17">
        <f t="shared" si="0"/>
        <v>37.4</v>
      </c>
      <c r="I5" s="2"/>
      <c r="J5" s="8">
        <f t="shared" si="1"/>
        <v>37.4</v>
      </c>
      <c r="K5" s="8">
        <f t="shared" si="1"/>
        <v>37.4</v>
      </c>
      <c r="L5" s="8">
        <f t="shared" si="1"/>
        <v>37.4</v>
      </c>
      <c r="M5" s="8">
        <f t="shared" si="1"/>
        <v>37.4</v>
      </c>
      <c r="N5" s="8">
        <f t="shared" si="1"/>
        <v>37.4</v>
      </c>
      <c r="O5" s="8">
        <f t="shared" si="1"/>
        <v>37.4</v>
      </c>
      <c r="P5" s="8">
        <f t="shared" si="1"/>
        <v>37.4</v>
      </c>
      <c r="Q5" s="8">
        <f t="shared" si="1"/>
        <v>37.4</v>
      </c>
      <c r="R5" s="8">
        <f t="shared" si="1"/>
        <v>37.4</v>
      </c>
      <c r="S5" s="8">
        <f t="shared" si="1"/>
        <v>37.4</v>
      </c>
      <c r="T5" s="8">
        <f t="shared" si="1"/>
        <v>37.4</v>
      </c>
      <c r="U5" s="8">
        <f t="shared" si="1"/>
        <v>37.4</v>
      </c>
      <c r="V5" s="8">
        <f t="shared" si="2"/>
        <v>448.7999999999999</v>
      </c>
    </row>
    <row r="6" spans="1:24" x14ac:dyDescent="0.25">
      <c r="A6" s="2" t="s">
        <v>7</v>
      </c>
      <c r="B6" s="2" t="s">
        <v>7</v>
      </c>
      <c r="C6" s="2" t="s">
        <v>50</v>
      </c>
      <c r="D6" s="2" t="s">
        <v>55</v>
      </c>
      <c r="E6" s="18">
        <v>14</v>
      </c>
      <c r="F6" s="18">
        <v>1</v>
      </c>
      <c r="G6" s="20"/>
      <c r="H6" s="17">
        <f t="shared" si="0"/>
        <v>14</v>
      </c>
      <c r="I6" s="2" t="s">
        <v>170</v>
      </c>
      <c r="J6" s="8">
        <f t="shared" si="1"/>
        <v>14</v>
      </c>
      <c r="K6" s="8">
        <f t="shared" si="1"/>
        <v>14</v>
      </c>
      <c r="L6" s="8">
        <f t="shared" si="1"/>
        <v>14</v>
      </c>
      <c r="M6" s="8">
        <f t="shared" si="1"/>
        <v>14</v>
      </c>
      <c r="N6" s="8">
        <f t="shared" si="1"/>
        <v>14</v>
      </c>
      <c r="O6" s="8">
        <f t="shared" si="1"/>
        <v>14</v>
      </c>
      <c r="P6" s="8">
        <f t="shared" si="1"/>
        <v>14</v>
      </c>
      <c r="Q6" s="8">
        <f t="shared" si="1"/>
        <v>14</v>
      </c>
      <c r="R6" s="8">
        <f t="shared" si="1"/>
        <v>14</v>
      </c>
      <c r="S6" s="8">
        <f t="shared" si="1"/>
        <v>14</v>
      </c>
      <c r="T6" s="8">
        <f t="shared" si="1"/>
        <v>14</v>
      </c>
      <c r="U6" s="8">
        <f t="shared" si="1"/>
        <v>14</v>
      </c>
      <c r="V6" s="8">
        <f t="shared" si="2"/>
        <v>168</v>
      </c>
    </row>
    <row r="7" spans="1:24" x14ac:dyDescent="0.25">
      <c r="A7" s="2" t="s">
        <v>7</v>
      </c>
      <c r="B7" s="2" t="s">
        <v>7</v>
      </c>
      <c r="C7" s="2" t="s">
        <v>50</v>
      </c>
      <c r="D7" s="2" t="s">
        <v>56</v>
      </c>
      <c r="E7" s="18">
        <v>11.28</v>
      </c>
      <c r="F7" s="18">
        <v>1</v>
      </c>
      <c r="G7" s="20"/>
      <c r="H7" s="17">
        <f t="shared" si="0"/>
        <v>11.28</v>
      </c>
      <c r="I7" s="2"/>
      <c r="J7" s="8">
        <f t="shared" si="1"/>
        <v>11.28</v>
      </c>
      <c r="K7" s="8">
        <f t="shared" si="1"/>
        <v>11.28</v>
      </c>
      <c r="L7" s="8">
        <f t="shared" si="1"/>
        <v>11.28</v>
      </c>
      <c r="M7" s="8">
        <f t="shared" si="1"/>
        <v>11.28</v>
      </c>
      <c r="N7" s="8">
        <f t="shared" si="1"/>
        <v>11.28</v>
      </c>
      <c r="O7" s="8">
        <f t="shared" si="1"/>
        <v>11.28</v>
      </c>
      <c r="P7" s="8">
        <f t="shared" si="1"/>
        <v>11.28</v>
      </c>
      <c r="Q7" s="8">
        <f t="shared" si="1"/>
        <v>11.28</v>
      </c>
      <c r="R7" s="8">
        <f t="shared" si="1"/>
        <v>11.28</v>
      </c>
      <c r="S7" s="8">
        <f t="shared" si="1"/>
        <v>11.28</v>
      </c>
      <c r="T7" s="8">
        <f t="shared" si="1"/>
        <v>11.28</v>
      </c>
      <c r="U7" s="8">
        <f t="shared" si="1"/>
        <v>11.28</v>
      </c>
      <c r="V7" s="8">
        <f t="shared" si="2"/>
        <v>135.35999999999999</v>
      </c>
    </row>
    <row r="8" spans="1:24" x14ac:dyDescent="0.25">
      <c r="A8" s="2" t="s">
        <v>7</v>
      </c>
      <c r="B8" s="2" t="s">
        <v>7</v>
      </c>
      <c r="C8" s="2" t="s">
        <v>50</v>
      </c>
      <c r="D8" s="2" t="s">
        <v>166</v>
      </c>
      <c r="E8" s="18">
        <v>491.94</v>
      </c>
      <c r="F8" s="18">
        <v>1</v>
      </c>
      <c r="G8" s="20"/>
      <c r="H8" s="17">
        <f t="shared" si="0"/>
        <v>491.94</v>
      </c>
      <c r="I8" s="2" t="s">
        <v>167</v>
      </c>
      <c r="J8" s="8">
        <f t="shared" ref="J8:U9" si="3">$H8</f>
        <v>491.94</v>
      </c>
      <c r="K8" s="8">
        <f t="shared" si="3"/>
        <v>491.94</v>
      </c>
      <c r="L8" s="8">
        <f t="shared" si="3"/>
        <v>491.94</v>
      </c>
      <c r="M8" s="8">
        <f t="shared" si="3"/>
        <v>491.94</v>
      </c>
      <c r="N8" s="8">
        <f t="shared" si="3"/>
        <v>491.94</v>
      </c>
      <c r="O8" s="8">
        <f t="shared" si="3"/>
        <v>491.94</v>
      </c>
      <c r="P8" s="8">
        <f t="shared" si="3"/>
        <v>491.94</v>
      </c>
      <c r="Q8" s="8">
        <f t="shared" si="3"/>
        <v>491.94</v>
      </c>
      <c r="R8" s="8">
        <f t="shared" si="3"/>
        <v>491.94</v>
      </c>
      <c r="S8" s="8">
        <f t="shared" si="3"/>
        <v>491.94</v>
      </c>
      <c r="T8" s="8">
        <f t="shared" si="3"/>
        <v>491.94</v>
      </c>
      <c r="U8" s="8">
        <f t="shared" si="3"/>
        <v>491.94</v>
      </c>
      <c r="V8" s="8">
        <f t="shared" si="2"/>
        <v>5903.2799999999988</v>
      </c>
    </row>
    <row r="9" spans="1:24" x14ac:dyDescent="0.25">
      <c r="A9" s="2" t="s">
        <v>7</v>
      </c>
      <c r="B9" s="2" t="s">
        <v>7</v>
      </c>
      <c r="C9" s="2" t="s">
        <v>50</v>
      </c>
      <c r="D9" s="2" t="s">
        <v>168</v>
      </c>
      <c r="E9" s="18">
        <f>219.9/12</f>
        <v>18.324999999999999</v>
      </c>
      <c r="F9" s="18">
        <v>1</v>
      </c>
      <c r="G9" s="20"/>
      <c r="H9" s="17">
        <f t="shared" si="0"/>
        <v>18.324999999999999</v>
      </c>
      <c r="I9" s="2" t="s">
        <v>169</v>
      </c>
      <c r="J9" s="8">
        <f t="shared" si="3"/>
        <v>18.324999999999999</v>
      </c>
      <c r="K9" s="8">
        <f t="shared" si="3"/>
        <v>18.324999999999999</v>
      </c>
      <c r="L9" s="8">
        <f t="shared" si="3"/>
        <v>18.324999999999999</v>
      </c>
      <c r="M9" s="8">
        <f t="shared" si="3"/>
        <v>18.324999999999999</v>
      </c>
      <c r="N9" s="8">
        <f t="shared" si="3"/>
        <v>18.324999999999999</v>
      </c>
      <c r="O9" s="8">
        <f t="shared" si="3"/>
        <v>18.324999999999999</v>
      </c>
      <c r="P9" s="8">
        <f t="shared" si="3"/>
        <v>18.324999999999999</v>
      </c>
      <c r="Q9" s="8">
        <f t="shared" si="3"/>
        <v>18.324999999999999</v>
      </c>
      <c r="R9" s="8">
        <f t="shared" si="3"/>
        <v>18.324999999999999</v>
      </c>
      <c r="S9" s="8">
        <f t="shared" si="3"/>
        <v>18.324999999999999</v>
      </c>
      <c r="T9" s="8">
        <f t="shared" si="3"/>
        <v>18.324999999999999</v>
      </c>
      <c r="U9" s="8">
        <f t="shared" si="3"/>
        <v>18.324999999999999</v>
      </c>
      <c r="V9" s="8">
        <f t="shared" si="2"/>
        <v>219.89999999999995</v>
      </c>
    </row>
    <row r="10" spans="1:24" x14ac:dyDescent="0.25">
      <c r="A10" s="2" t="s">
        <v>7</v>
      </c>
      <c r="B10" s="2" t="s">
        <v>7</v>
      </c>
      <c r="C10" s="2" t="s">
        <v>50</v>
      </c>
      <c r="D10" s="2" t="s">
        <v>163</v>
      </c>
      <c r="E10" s="18">
        <v>28.1</v>
      </c>
      <c r="F10" s="18">
        <v>19</v>
      </c>
      <c r="G10" s="20"/>
      <c r="H10" s="17">
        <f t="shared" si="0"/>
        <v>533.9</v>
      </c>
      <c r="I10" s="2" t="s">
        <v>164</v>
      </c>
      <c r="J10" s="8">
        <f t="shared" si="1"/>
        <v>533.9</v>
      </c>
      <c r="K10" s="8">
        <f t="shared" si="1"/>
        <v>533.9</v>
      </c>
      <c r="L10" s="8">
        <f t="shared" si="1"/>
        <v>533.9</v>
      </c>
      <c r="M10" s="8">
        <f t="shared" si="1"/>
        <v>533.9</v>
      </c>
      <c r="N10" s="8">
        <f t="shared" si="1"/>
        <v>533.9</v>
      </c>
      <c r="O10" s="8">
        <f t="shared" si="1"/>
        <v>533.9</v>
      </c>
      <c r="P10" s="8">
        <f t="shared" si="1"/>
        <v>533.9</v>
      </c>
      <c r="Q10" s="8">
        <f t="shared" si="1"/>
        <v>533.9</v>
      </c>
      <c r="R10" s="8">
        <f t="shared" si="1"/>
        <v>533.9</v>
      </c>
      <c r="S10" s="8">
        <f t="shared" si="1"/>
        <v>533.9</v>
      </c>
      <c r="T10" s="8">
        <f t="shared" si="1"/>
        <v>533.9</v>
      </c>
      <c r="U10" s="8">
        <f t="shared" si="1"/>
        <v>533.9</v>
      </c>
      <c r="V10" s="8">
        <f t="shared" si="2"/>
        <v>6406.7999999999984</v>
      </c>
      <c r="X10" s="8"/>
    </row>
    <row r="11" spans="1:24" x14ac:dyDescent="0.25">
      <c r="A11" s="2" t="s">
        <v>7</v>
      </c>
      <c r="B11" s="2" t="s">
        <v>7</v>
      </c>
      <c r="C11" s="2" t="s">
        <v>50</v>
      </c>
      <c r="D11" s="2" t="s">
        <v>57</v>
      </c>
      <c r="E11" s="18">
        <v>9.4</v>
      </c>
      <c r="F11" s="18">
        <v>2</v>
      </c>
      <c r="G11" s="20"/>
      <c r="H11" s="17">
        <f t="shared" si="0"/>
        <v>18.8</v>
      </c>
      <c r="I11" s="2" t="s">
        <v>58</v>
      </c>
      <c r="J11" s="8">
        <f t="shared" si="1"/>
        <v>18.8</v>
      </c>
      <c r="K11" s="8">
        <f t="shared" si="1"/>
        <v>18.8</v>
      </c>
      <c r="L11" s="8">
        <f t="shared" si="1"/>
        <v>18.8</v>
      </c>
      <c r="M11" s="8">
        <f t="shared" si="1"/>
        <v>18.8</v>
      </c>
      <c r="N11" s="8">
        <f t="shared" si="1"/>
        <v>18.8</v>
      </c>
      <c r="O11" s="8">
        <f t="shared" si="1"/>
        <v>18.8</v>
      </c>
      <c r="P11" s="8">
        <f t="shared" si="1"/>
        <v>18.8</v>
      </c>
      <c r="Q11" s="8">
        <f t="shared" si="1"/>
        <v>18.8</v>
      </c>
      <c r="R11" s="8">
        <f t="shared" si="1"/>
        <v>18.8</v>
      </c>
      <c r="S11" s="8">
        <f t="shared" si="1"/>
        <v>18.8</v>
      </c>
      <c r="T11" s="8">
        <f t="shared" si="1"/>
        <v>18.8</v>
      </c>
      <c r="U11" s="8">
        <f t="shared" si="1"/>
        <v>18.8</v>
      </c>
      <c r="V11" s="8">
        <f t="shared" si="2"/>
        <v>225.60000000000005</v>
      </c>
    </row>
    <row r="12" spans="1:24" x14ac:dyDescent="0.25">
      <c r="A12" t="s">
        <v>7</v>
      </c>
      <c r="B12" s="2" t="s">
        <v>7</v>
      </c>
      <c r="C12" s="2" t="s">
        <v>50</v>
      </c>
      <c r="D12" s="2" t="s">
        <v>59</v>
      </c>
      <c r="E12" s="18">
        <v>270</v>
      </c>
      <c r="F12" s="18">
        <v>0</v>
      </c>
      <c r="G12" s="20"/>
      <c r="H12" s="17">
        <f t="shared" si="0"/>
        <v>0</v>
      </c>
      <c r="I12" s="2" t="s">
        <v>154</v>
      </c>
      <c r="J12" s="8">
        <f t="shared" si="1"/>
        <v>0</v>
      </c>
      <c r="K12" s="8">
        <f t="shared" si="1"/>
        <v>0</v>
      </c>
      <c r="L12" s="8">
        <f t="shared" si="1"/>
        <v>0</v>
      </c>
      <c r="M12" s="8">
        <f t="shared" si="1"/>
        <v>0</v>
      </c>
      <c r="N12" s="8">
        <f t="shared" si="1"/>
        <v>0</v>
      </c>
      <c r="O12" s="8">
        <f t="shared" si="1"/>
        <v>0</v>
      </c>
      <c r="P12" s="8">
        <f t="shared" si="1"/>
        <v>0</v>
      </c>
      <c r="Q12" s="8">
        <f t="shared" si="1"/>
        <v>0</v>
      </c>
      <c r="R12" s="8">
        <f t="shared" si="1"/>
        <v>0</v>
      </c>
      <c r="S12" s="8">
        <f t="shared" si="1"/>
        <v>0</v>
      </c>
      <c r="T12" s="8">
        <f t="shared" si="1"/>
        <v>0</v>
      </c>
      <c r="U12" s="8">
        <f t="shared" si="1"/>
        <v>0</v>
      </c>
      <c r="V12" s="8">
        <f t="shared" si="2"/>
        <v>0</v>
      </c>
    </row>
    <row r="13" spans="1:24" x14ac:dyDescent="0.25">
      <c r="A13" s="2" t="s">
        <v>7</v>
      </c>
      <c r="B13" s="2" t="s">
        <v>7</v>
      </c>
      <c r="C13" s="2" t="s">
        <v>50</v>
      </c>
      <c r="D13" s="2" t="s">
        <v>60</v>
      </c>
      <c r="E13" s="18">
        <v>3.2</v>
      </c>
      <c r="F13" s="18">
        <v>176</v>
      </c>
      <c r="G13" s="20"/>
      <c r="H13" s="17">
        <f t="shared" si="0"/>
        <v>563.20000000000005</v>
      </c>
      <c r="I13" s="2" t="s">
        <v>61</v>
      </c>
      <c r="J13" s="8">
        <f t="shared" si="1"/>
        <v>563.20000000000005</v>
      </c>
      <c r="K13" s="8">
        <f t="shared" si="1"/>
        <v>563.20000000000005</v>
      </c>
      <c r="L13" s="8">
        <f t="shared" si="1"/>
        <v>563.20000000000005</v>
      </c>
      <c r="M13" s="8">
        <f t="shared" si="1"/>
        <v>563.20000000000005</v>
      </c>
      <c r="N13" s="8">
        <f t="shared" si="1"/>
        <v>563.20000000000005</v>
      </c>
      <c r="O13" s="8">
        <f t="shared" si="1"/>
        <v>563.20000000000005</v>
      </c>
      <c r="P13" s="8">
        <f t="shared" si="1"/>
        <v>563.20000000000005</v>
      </c>
      <c r="Q13" s="8">
        <f t="shared" si="1"/>
        <v>563.20000000000005</v>
      </c>
      <c r="R13" s="8">
        <f t="shared" si="1"/>
        <v>563.20000000000005</v>
      </c>
      <c r="S13" s="8">
        <f t="shared" si="1"/>
        <v>563.20000000000005</v>
      </c>
      <c r="T13" s="8">
        <f t="shared" si="1"/>
        <v>563.20000000000005</v>
      </c>
      <c r="U13" s="8">
        <f t="shared" si="1"/>
        <v>563.20000000000005</v>
      </c>
      <c r="V13" s="8">
        <f t="shared" si="2"/>
        <v>6758.3999999999987</v>
      </c>
    </row>
    <row r="14" spans="1:24" x14ac:dyDescent="0.25">
      <c r="A14" s="2" t="s">
        <v>7</v>
      </c>
      <c r="B14" s="2" t="s">
        <v>7</v>
      </c>
      <c r="C14" s="2" t="s">
        <v>50</v>
      </c>
      <c r="D14" s="2" t="s">
        <v>62</v>
      </c>
      <c r="E14" s="18">
        <v>0.57999999999999996</v>
      </c>
      <c r="F14" s="18">
        <v>125</v>
      </c>
      <c r="G14" s="20"/>
      <c r="H14" s="17">
        <f t="shared" si="0"/>
        <v>72.5</v>
      </c>
      <c r="I14" s="2"/>
      <c r="J14" s="8">
        <f t="shared" si="1"/>
        <v>72.5</v>
      </c>
      <c r="K14" s="8">
        <f t="shared" si="1"/>
        <v>72.5</v>
      </c>
      <c r="L14" s="8">
        <f t="shared" si="1"/>
        <v>72.5</v>
      </c>
      <c r="M14" s="8">
        <f t="shared" si="1"/>
        <v>72.5</v>
      </c>
      <c r="N14" s="8">
        <f t="shared" si="1"/>
        <v>72.5</v>
      </c>
      <c r="O14" s="8">
        <f t="shared" si="1"/>
        <v>72.5</v>
      </c>
      <c r="P14" s="8">
        <f t="shared" si="1"/>
        <v>72.5</v>
      </c>
      <c r="Q14" s="8">
        <f t="shared" si="1"/>
        <v>72.5</v>
      </c>
      <c r="R14" s="8">
        <f t="shared" si="1"/>
        <v>72.5</v>
      </c>
      <c r="S14" s="8">
        <f t="shared" si="1"/>
        <v>72.5</v>
      </c>
      <c r="T14" s="8">
        <f t="shared" si="1"/>
        <v>72.5</v>
      </c>
      <c r="U14" s="8">
        <f t="shared" si="1"/>
        <v>72.5</v>
      </c>
      <c r="V14" s="8">
        <f t="shared" si="2"/>
        <v>870</v>
      </c>
    </row>
    <row r="15" spans="1:24" x14ac:dyDescent="0.25">
      <c r="A15" s="2" t="s">
        <v>7</v>
      </c>
      <c r="B15" s="2" t="s">
        <v>7</v>
      </c>
      <c r="C15" s="2" t="s">
        <v>50</v>
      </c>
      <c r="D15" s="2" t="s">
        <v>63</v>
      </c>
      <c r="E15" s="18">
        <v>90</v>
      </c>
      <c r="F15" s="18">
        <v>1</v>
      </c>
      <c r="G15" s="20"/>
      <c r="H15" s="17">
        <f t="shared" si="0"/>
        <v>90</v>
      </c>
      <c r="I15" s="2"/>
      <c r="J15" s="8">
        <f t="shared" si="1"/>
        <v>90</v>
      </c>
      <c r="K15" s="8">
        <f t="shared" si="1"/>
        <v>90</v>
      </c>
      <c r="L15" s="8">
        <f t="shared" si="1"/>
        <v>90</v>
      </c>
      <c r="M15" s="8">
        <f t="shared" si="1"/>
        <v>90</v>
      </c>
      <c r="N15" s="8">
        <f t="shared" si="1"/>
        <v>90</v>
      </c>
      <c r="O15" s="8">
        <f t="shared" si="1"/>
        <v>90</v>
      </c>
      <c r="P15" s="8">
        <f t="shared" si="1"/>
        <v>90</v>
      </c>
      <c r="Q15" s="8">
        <f t="shared" si="1"/>
        <v>90</v>
      </c>
      <c r="R15" s="8">
        <f t="shared" si="1"/>
        <v>90</v>
      </c>
      <c r="S15" s="8">
        <f t="shared" si="1"/>
        <v>90</v>
      </c>
      <c r="T15" s="8">
        <f t="shared" si="1"/>
        <v>90</v>
      </c>
      <c r="U15" s="8">
        <f t="shared" si="1"/>
        <v>90</v>
      </c>
      <c r="V15" s="8">
        <f t="shared" si="2"/>
        <v>1080</v>
      </c>
    </row>
    <row r="16" spans="1:24" x14ac:dyDescent="0.25">
      <c r="A16" s="2" t="s">
        <v>7</v>
      </c>
      <c r="B16" s="2" t="s">
        <v>7</v>
      </c>
      <c r="C16" s="2" t="s">
        <v>50</v>
      </c>
      <c r="D16" s="2" t="s">
        <v>64</v>
      </c>
      <c r="E16" s="18">
        <v>5</v>
      </c>
      <c r="F16" s="18">
        <v>3</v>
      </c>
      <c r="G16" s="20"/>
      <c r="H16" s="17">
        <f t="shared" si="0"/>
        <v>15</v>
      </c>
      <c r="I16" s="2"/>
      <c r="J16" s="8">
        <f t="shared" si="1"/>
        <v>15</v>
      </c>
      <c r="K16" s="8">
        <f t="shared" si="1"/>
        <v>15</v>
      </c>
      <c r="L16" s="8">
        <f t="shared" si="1"/>
        <v>15</v>
      </c>
      <c r="M16" s="8">
        <f t="shared" si="1"/>
        <v>15</v>
      </c>
      <c r="N16" s="8">
        <f t="shared" si="1"/>
        <v>15</v>
      </c>
      <c r="O16" s="8">
        <f t="shared" si="1"/>
        <v>15</v>
      </c>
      <c r="P16" s="8">
        <f t="shared" si="1"/>
        <v>15</v>
      </c>
      <c r="Q16" s="8">
        <f t="shared" si="1"/>
        <v>15</v>
      </c>
      <c r="R16" s="8">
        <f t="shared" si="1"/>
        <v>15</v>
      </c>
      <c r="S16" s="8">
        <f t="shared" si="1"/>
        <v>15</v>
      </c>
      <c r="T16" s="8">
        <f t="shared" si="1"/>
        <v>15</v>
      </c>
      <c r="U16" s="8">
        <f t="shared" si="1"/>
        <v>15</v>
      </c>
      <c r="V16" s="8">
        <f t="shared" si="2"/>
        <v>180</v>
      </c>
    </row>
    <row r="17" spans="1:22" x14ac:dyDescent="0.25">
      <c r="A17" s="2" t="s">
        <v>7</v>
      </c>
      <c r="B17" s="2" t="s">
        <v>7</v>
      </c>
      <c r="C17" s="2" t="s">
        <v>50</v>
      </c>
      <c r="D17" s="2" t="s">
        <v>65</v>
      </c>
      <c r="E17" s="18">
        <v>5</v>
      </c>
      <c r="F17" s="18">
        <v>150</v>
      </c>
      <c r="G17" s="20"/>
      <c r="H17" s="17">
        <f t="shared" si="0"/>
        <v>750</v>
      </c>
      <c r="I17" s="2" t="s">
        <v>66</v>
      </c>
      <c r="J17" s="8">
        <f t="shared" si="1"/>
        <v>750</v>
      </c>
      <c r="K17" s="8">
        <f t="shared" si="1"/>
        <v>750</v>
      </c>
      <c r="L17" s="8">
        <f t="shared" si="1"/>
        <v>750</v>
      </c>
      <c r="M17" s="8">
        <f t="shared" si="1"/>
        <v>750</v>
      </c>
      <c r="N17" s="8">
        <f t="shared" si="1"/>
        <v>750</v>
      </c>
      <c r="O17" s="8">
        <f t="shared" si="1"/>
        <v>750</v>
      </c>
      <c r="P17" s="8">
        <f t="shared" si="1"/>
        <v>750</v>
      </c>
      <c r="Q17" s="8">
        <f t="shared" si="1"/>
        <v>750</v>
      </c>
      <c r="R17" s="8">
        <f t="shared" si="1"/>
        <v>750</v>
      </c>
      <c r="S17" s="8">
        <f t="shared" si="1"/>
        <v>750</v>
      </c>
      <c r="T17" s="8">
        <f t="shared" si="1"/>
        <v>750</v>
      </c>
      <c r="U17" s="8">
        <f t="shared" si="1"/>
        <v>750</v>
      </c>
      <c r="V17" s="8">
        <f t="shared" si="2"/>
        <v>9000</v>
      </c>
    </row>
    <row r="18" spans="1:22" x14ac:dyDescent="0.25">
      <c r="A18" t="s">
        <v>7</v>
      </c>
      <c r="B18" s="2" t="s">
        <v>7</v>
      </c>
      <c r="C18" s="2" t="s">
        <v>50</v>
      </c>
      <c r="D18" s="2" t="s">
        <v>67</v>
      </c>
      <c r="E18" s="18">
        <v>2</v>
      </c>
      <c r="F18" s="18">
        <v>133</v>
      </c>
      <c r="G18" s="20"/>
      <c r="H18" s="17">
        <f t="shared" si="0"/>
        <v>266</v>
      </c>
      <c r="I18" s="2" t="s">
        <v>153</v>
      </c>
      <c r="J18" s="8">
        <f t="shared" si="1"/>
        <v>266</v>
      </c>
      <c r="K18" s="8">
        <f t="shared" si="1"/>
        <v>266</v>
      </c>
      <c r="L18" s="8">
        <f t="shared" si="1"/>
        <v>266</v>
      </c>
      <c r="M18" s="8">
        <f t="shared" si="1"/>
        <v>266</v>
      </c>
      <c r="N18" s="8">
        <f t="shared" si="1"/>
        <v>266</v>
      </c>
      <c r="O18" s="8">
        <f t="shared" si="1"/>
        <v>266</v>
      </c>
      <c r="P18" s="8">
        <f t="shared" si="1"/>
        <v>266</v>
      </c>
      <c r="Q18" s="8">
        <f t="shared" si="1"/>
        <v>266</v>
      </c>
      <c r="R18" s="8">
        <f t="shared" si="1"/>
        <v>266</v>
      </c>
      <c r="S18" s="8">
        <f t="shared" si="1"/>
        <v>266</v>
      </c>
      <c r="T18" s="8">
        <f t="shared" si="1"/>
        <v>266</v>
      </c>
      <c r="U18" s="8">
        <f t="shared" si="1"/>
        <v>266</v>
      </c>
      <c r="V18" s="8">
        <f t="shared" si="2"/>
        <v>3192</v>
      </c>
    </row>
    <row r="19" spans="1:22" x14ac:dyDescent="0.25">
      <c r="A19" s="2" t="s">
        <v>7</v>
      </c>
      <c r="B19" s="2" t="s">
        <v>7</v>
      </c>
      <c r="C19" s="2" t="s">
        <v>50</v>
      </c>
      <c r="D19" s="2" t="s">
        <v>68</v>
      </c>
      <c r="E19" s="18">
        <v>7.5</v>
      </c>
      <c r="F19" s="18">
        <v>16</v>
      </c>
      <c r="G19" s="20"/>
      <c r="H19" s="17">
        <f t="shared" si="0"/>
        <v>120</v>
      </c>
      <c r="I19" s="2"/>
      <c r="J19" s="8">
        <f t="shared" si="1"/>
        <v>120</v>
      </c>
      <c r="K19" s="8">
        <f t="shared" si="1"/>
        <v>120</v>
      </c>
      <c r="L19" s="8">
        <f t="shared" si="1"/>
        <v>120</v>
      </c>
      <c r="M19" s="8">
        <f t="shared" si="1"/>
        <v>120</v>
      </c>
      <c r="N19" s="8">
        <f t="shared" si="1"/>
        <v>120</v>
      </c>
      <c r="O19" s="8">
        <f t="shared" si="1"/>
        <v>120</v>
      </c>
      <c r="P19" s="8">
        <f t="shared" si="1"/>
        <v>120</v>
      </c>
      <c r="Q19" s="8">
        <f t="shared" si="1"/>
        <v>120</v>
      </c>
      <c r="R19" s="8">
        <f t="shared" si="1"/>
        <v>120</v>
      </c>
      <c r="S19" s="8">
        <f t="shared" si="1"/>
        <v>120</v>
      </c>
      <c r="T19" s="8">
        <f t="shared" si="1"/>
        <v>120</v>
      </c>
      <c r="U19" s="8">
        <f t="shared" si="1"/>
        <v>120</v>
      </c>
      <c r="V19" s="8">
        <f t="shared" si="2"/>
        <v>1440</v>
      </c>
    </row>
    <row r="20" spans="1:22" x14ac:dyDescent="0.25">
      <c r="A20" s="2" t="s">
        <v>7</v>
      </c>
      <c r="B20" s="2" t="s">
        <v>7</v>
      </c>
      <c r="C20" s="2" t="s">
        <v>69</v>
      </c>
      <c r="D20" s="2" t="s">
        <v>70</v>
      </c>
      <c r="E20" s="18">
        <v>6</v>
      </c>
      <c r="F20" s="18">
        <v>16</v>
      </c>
      <c r="G20" s="20"/>
      <c r="H20" s="17">
        <f t="shared" si="0"/>
        <v>96</v>
      </c>
      <c r="I20" s="2" t="s">
        <v>71</v>
      </c>
      <c r="J20" s="8">
        <f t="shared" si="1"/>
        <v>96</v>
      </c>
      <c r="K20" s="8">
        <f t="shared" si="1"/>
        <v>96</v>
      </c>
      <c r="L20" s="8">
        <f t="shared" si="1"/>
        <v>96</v>
      </c>
      <c r="M20" s="8">
        <f t="shared" si="1"/>
        <v>96</v>
      </c>
      <c r="N20" s="8">
        <f t="shared" si="1"/>
        <v>96</v>
      </c>
      <c r="O20" s="8">
        <f t="shared" si="1"/>
        <v>96</v>
      </c>
      <c r="P20" s="8">
        <f t="shared" si="1"/>
        <v>96</v>
      </c>
      <c r="Q20" s="8">
        <f t="shared" si="1"/>
        <v>96</v>
      </c>
      <c r="R20" s="8">
        <f t="shared" si="1"/>
        <v>96</v>
      </c>
      <c r="S20" s="8">
        <f t="shared" si="1"/>
        <v>96</v>
      </c>
      <c r="T20" s="8">
        <f t="shared" si="1"/>
        <v>96</v>
      </c>
      <c r="U20" s="8">
        <f t="shared" si="1"/>
        <v>96</v>
      </c>
      <c r="V20" s="8">
        <f t="shared" si="2"/>
        <v>1152</v>
      </c>
    </row>
    <row r="21" spans="1:22" x14ac:dyDescent="0.25">
      <c r="A21" s="2" t="s">
        <v>7</v>
      </c>
      <c r="B21" s="2" t="s">
        <v>7</v>
      </c>
      <c r="C21" s="2" t="s">
        <v>69</v>
      </c>
      <c r="D21" s="2" t="s">
        <v>72</v>
      </c>
      <c r="E21" s="18">
        <v>7</v>
      </c>
      <c r="F21" s="18">
        <v>2</v>
      </c>
      <c r="G21" s="20"/>
      <c r="H21" s="17">
        <f t="shared" si="0"/>
        <v>14</v>
      </c>
      <c r="I21" s="2" t="s">
        <v>73</v>
      </c>
      <c r="J21" s="8">
        <f t="shared" si="1"/>
        <v>14</v>
      </c>
      <c r="K21" s="8">
        <f t="shared" si="1"/>
        <v>14</v>
      </c>
      <c r="L21" s="8">
        <f t="shared" si="1"/>
        <v>14</v>
      </c>
      <c r="M21" s="8">
        <f t="shared" si="1"/>
        <v>14</v>
      </c>
      <c r="N21" s="8">
        <f t="shared" si="1"/>
        <v>14</v>
      </c>
      <c r="O21" s="8">
        <f t="shared" si="1"/>
        <v>14</v>
      </c>
      <c r="P21" s="8">
        <f t="shared" si="1"/>
        <v>14</v>
      </c>
      <c r="Q21" s="8">
        <f t="shared" si="1"/>
        <v>14</v>
      </c>
      <c r="R21" s="8">
        <f t="shared" si="1"/>
        <v>14</v>
      </c>
      <c r="S21" s="8">
        <f t="shared" si="1"/>
        <v>14</v>
      </c>
      <c r="T21" s="8">
        <f t="shared" si="1"/>
        <v>14</v>
      </c>
      <c r="U21" s="8">
        <f t="shared" si="1"/>
        <v>14</v>
      </c>
      <c r="V21" s="8">
        <f t="shared" si="2"/>
        <v>168</v>
      </c>
    </row>
    <row r="22" spans="1:22" x14ac:dyDescent="0.25">
      <c r="A22" s="2" t="s">
        <v>7</v>
      </c>
      <c r="B22" s="2" t="s">
        <v>7</v>
      </c>
      <c r="C22" s="2" t="s">
        <v>69</v>
      </c>
      <c r="D22" s="2" t="s">
        <v>74</v>
      </c>
      <c r="E22" s="18">
        <v>32.5</v>
      </c>
      <c r="F22" s="18">
        <v>20</v>
      </c>
      <c r="G22" s="20"/>
      <c r="H22" s="17">
        <f t="shared" si="0"/>
        <v>650</v>
      </c>
      <c r="I22" s="2" t="s">
        <v>75</v>
      </c>
      <c r="J22" s="8">
        <f t="shared" si="1"/>
        <v>650</v>
      </c>
      <c r="K22" s="8">
        <f t="shared" si="1"/>
        <v>650</v>
      </c>
      <c r="L22" s="8">
        <f t="shared" si="1"/>
        <v>650</v>
      </c>
      <c r="M22" s="8">
        <f t="shared" si="1"/>
        <v>650</v>
      </c>
      <c r="N22" s="8">
        <f t="shared" si="1"/>
        <v>650</v>
      </c>
      <c r="O22" s="8">
        <f t="shared" si="1"/>
        <v>650</v>
      </c>
      <c r="P22" s="8">
        <f t="shared" si="1"/>
        <v>650</v>
      </c>
      <c r="Q22" s="8">
        <f t="shared" si="1"/>
        <v>650</v>
      </c>
      <c r="R22" s="8">
        <f t="shared" si="1"/>
        <v>650</v>
      </c>
      <c r="S22" s="8">
        <f t="shared" si="1"/>
        <v>650</v>
      </c>
      <c r="T22" s="8">
        <f t="shared" si="1"/>
        <v>650</v>
      </c>
      <c r="U22" s="8">
        <f t="shared" si="1"/>
        <v>650</v>
      </c>
      <c r="V22" s="8">
        <f t="shared" si="2"/>
        <v>7800</v>
      </c>
    </row>
    <row r="23" spans="1:22" x14ac:dyDescent="0.25">
      <c r="A23" s="2" t="s">
        <v>7</v>
      </c>
      <c r="B23" s="2" t="s">
        <v>7</v>
      </c>
      <c r="C23" s="2" t="s">
        <v>69</v>
      </c>
      <c r="D23" s="2" t="s">
        <v>76</v>
      </c>
      <c r="E23" s="18">
        <v>2</v>
      </c>
      <c r="F23" s="18">
        <v>155</v>
      </c>
      <c r="G23" s="20"/>
      <c r="H23" s="17">
        <f t="shared" si="0"/>
        <v>310</v>
      </c>
      <c r="I23" s="2"/>
      <c r="J23" s="8">
        <f t="shared" si="1"/>
        <v>310</v>
      </c>
      <c r="K23" s="8">
        <f t="shared" si="1"/>
        <v>310</v>
      </c>
      <c r="L23" s="8">
        <f t="shared" si="1"/>
        <v>310</v>
      </c>
      <c r="M23" s="8">
        <f t="shared" si="1"/>
        <v>310</v>
      </c>
      <c r="N23" s="8">
        <f t="shared" si="1"/>
        <v>310</v>
      </c>
      <c r="O23" s="8">
        <f t="shared" si="1"/>
        <v>310</v>
      </c>
      <c r="P23" s="8">
        <f t="shared" si="1"/>
        <v>310</v>
      </c>
      <c r="Q23" s="8">
        <f t="shared" si="1"/>
        <v>310</v>
      </c>
      <c r="R23" s="8">
        <f t="shared" si="1"/>
        <v>310</v>
      </c>
      <c r="S23" s="8">
        <f t="shared" si="1"/>
        <v>310</v>
      </c>
      <c r="T23" s="8">
        <f t="shared" si="1"/>
        <v>310</v>
      </c>
      <c r="U23" s="8">
        <f t="shared" si="1"/>
        <v>310</v>
      </c>
      <c r="V23" s="8">
        <f t="shared" si="2"/>
        <v>3720</v>
      </c>
    </row>
    <row r="24" spans="1:22" x14ac:dyDescent="0.25">
      <c r="A24" s="2" t="s">
        <v>7</v>
      </c>
      <c r="B24" s="2" t="s">
        <v>7</v>
      </c>
      <c r="C24" s="2" t="s">
        <v>69</v>
      </c>
      <c r="D24" s="2" t="s">
        <v>77</v>
      </c>
      <c r="E24" s="18">
        <v>63</v>
      </c>
      <c r="F24" s="18">
        <v>0</v>
      </c>
      <c r="G24" s="20"/>
      <c r="H24" s="17">
        <f t="shared" si="0"/>
        <v>0</v>
      </c>
      <c r="I24" s="2" t="s">
        <v>78</v>
      </c>
      <c r="J24" s="8">
        <f t="shared" si="1"/>
        <v>0</v>
      </c>
      <c r="K24" s="8">
        <f t="shared" si="1"/>
        <v>0</v>
      </c>
      <c r="L24" s="8">
        <f t="shared" si="1"/>
        <v>0</v>
      </c>
      <c r="M24" s="8">
        <f t="shared" si="1"/>
        <v>0</v>
      </c>
      <c r="N24" s="8">
        <f t="shared" si="1"/>
        <v>0</v>
      </c>
      <c r="O24" s="8">
        <f t="shared" si="1"/>
        <v>0</v>
      </c>
      <c r="P24" s="8">
        <f t="shared" si="1"/>
        <v>0</v>
      </c>
      <c r="Q24" s="8">
        <f t="shared" si="1"/>
        <v>0</v>
      </c>
      <c r="R24" s="8">
        <f t="shared" si="1"/>
        <v>0</v>
      </c>
      <c r="S24" s="8">
        <f t="shared" si="1"/>
        <v>0</v>
      </c>
      <c r="T24" s="8">
        <f t="shared" si="1"/>
        <v>0</v>
      </c>
      <c r="U24" s="8">
        <f t="shared" si="1"/>
        <v>0</v>
      </c>
      <c r="V24" s="8">
        <f t="shared" si="2"/>
        <v>0</v>
      </c>
    </row>
    <row r="25" spans="1:22" x14ac:dyDescent="0.25">
      <c r="A25" s="2" t="s">
        <v>7</v>
      </c>
      <c r="B25" s="2" t="s">
        <v>7</v>
      </c>
      <c r="C25" s="2" t="s">
        <v>69</v>
      </c>
      <c r="D25" s="2" t="s">
        <v>79</v>
      </c>
      <c r="E25" s="18">
        <v>85</v>
      </c>
      <c r="F25" s="18">
        <v>0</v>
      </c>
      <c r="G25" s="20"/>
      <c r="H25" s="17">
        <f t="shared" si="0"/>
        <v>0</v>
      </c>
      <c r="I25" s="2" t="s">
        <v>80</v>
      </c>
      <c r="J25" s="8">
        <f t="shared" si="1"/>
        <v>0</v>
      </c>
      <c r="K25" s="8">
        <f t="shared" si="1"/>
        <v>0</v>
      </c>
      <c r="L25" s="8">
        <f t="shared" si="1"/>
        <v>0</v>
      </c>
      <c r="M25" s="8">
        <f t="shared" ref="K25:U37" si="4">$H25</f>
        <v>0</v>
      </c>
      <c r="N25" s="8">
        <f t="shared" si="4"/>
        <v>0</v>
      </c>
      <c r="O25" s="8">
        <f t="shared" si="4"/>
        <v>0</v>
      </c>
      <c r="P25" s="8">
        <f t="shared" si="4"/>
        <v>0</v>
      </c>
      <c r="Q25" s="8">
        <f t="shared" si="4"/>
        <v>0</v>
      </c>
      <c r="R25" s="8">
        <f t="shared" si="4"/>
        <v>0</v>
      </c>
      <c r="S25" s="8">
        <f t="shared" si="4"/>
        <v>0</v>
      </c>
      <c r="T25" s="8">
        <f t="shared" si="4"/>
        <v>0</v>
      </c>
      <c r="U25" s="8">
        <f t="shared" si="4"/>
        <v>0</v>
      </c>
      <c r="V25" s="8">
        <f t="shared" si="2"/>
        <v>0</v>
      </c>
    </row>
    <row r="26" spans="1:22" x14ac:dyDescent="0.25">
      <c r="A26" s="2" t="s">
        <v>7</v>
      </c>
      <c r="B26" s="2" t="s">
        <v>7</v>
      </c>
      <c r="C26" s="2" t="s">
        <v>69</v>
      </c>
      <c r="D26" s="2" t="s">
        <v>81</v>
      </c>
      <c r="E26" s="18">
        <v>7</v>
      </c>
      <c r="F26" s="18">
        <v>0</v>
      </c>
      <c r="G26" s="20"/>
      <c r="H26" s="17">
        <f t="shared" si="0"/>
        <v>0</v>
      </c>
      <c r="I26" s="2" t="s">
        <v>78</v>
      </c>
      <c r="J26" s="8">
        <f t="shared" ref="J26:J37" si="5">$H26</f>
        <v>0</v>
      </c>
      <c r="K26" s="8">
        <f t="shared" si="4"/>
        <v>0</v>
      </c>
      <c r="L26" s="8">
        <f t="shared" si="4"/>
        <v>0</v>
      </c>
      <c r="M26" s="8">
        <f t="shared" si="4"/>
        <v>0</v>
      </c>
      <c r="N26" s="8">
        <f t="shared" si="4"/>
        <v>0</v>
      </c>
      <c r="O26" s="8">
        <f t="shared" si="4"/>
        <v>0</v>
      </c>
      <c r="P26" s="8">
        <f t="shared" si="4"/>
        <v>0</v>
      </c>
      <c r="Q26" s="8">
        <f t="shared" si="4"/>
        <v>0</v>
      </c>
      <c r="R26" s="8">
        <f t="shared" si="4"/>
        <v>0</v>
      </c>
      <c r="S26" s="8">
        <f t="shared" si="4"/>
        <v>0</v>
      </c>
      <c r="T26" s="8">
        <f t="shared" si="4"/>
        <v>0</v>
      </c>
      <c r="U26" s="8">
        <f t="shared" si="4"/>
        <v>0</v>
      </c>
      <c r="V26" s="8">
        <f t="shared" si="2"/>
        <v>0</v>
      </c>
    </row>
    <row r="27" spans="1:22" x14ac:dyDescent="0.25">
      <c r="A27" s="2" t="s">
        <v>7</v>
      </c>
      <c r="B27" s="2" t="s">
        <v>7</v>
      </c>
      <c r="C27" s="2" t="s">
        <v>69</v>
      </c>
      <c r="D27" s="2" t="s">
        <v>74</v>
      </c>
      <c r="E27" s="18">
        <v>45</v>
      </c>
      <c r="F27" s="18">
        <v>4</v>
      </c>
      <c r="G27" s="20"/>
      <c r="H27" s="17">
        <f t="shared" si="0"/>
        <v>180</v>
      </c>
      <c r="I27" s="2" t="s">
        <v>82</v>
      </c>
      <c r="J27" s="8">
        <f t="shared" si="5"/>
        <v>180</v>
      </c>
      <c r="K27" s="8">
        <f t="shared" si="4"/>
        <v>180</v>
      </c>
      <c r="L27" s="8">
        <f t="shared" si="4"/>
        <v>180</v>
      </c>
      <c r="M27" s="8">
        <f t="shared" si="4"/>
        <v>180</v>
      </c>
      <c r="N27" s="8">
        <f t="shared" si="4"/>
        <v>180</v>
      </c>
      <c r="O27" s="8">
        <f t="shared" si="4"/>
        <v>180</v>
      </c>
      <c r="P27" s="8">
        <f t="shared" si="4"/>
        <v>180</v>
      </c>
      <c r="Q27" s="8">
        <f t="shared" si="4"/>
        <v>180</v>
      </c>
      <c r="R27" s="8">
        <f t="shared" si="4"/>
        <v>180</v>
      </c>
      <c r="S27" s="8">
        <f t="shared" si="4"/>
        <v>180</v>
      </c>
      <c r="T27" s="8">
        <f t="shared" si="4"/>
        <v>180</v>
      </c>
      <c r="U27" s="8">
        <f t="shared" si="4"/>
        <v>180</v>
      </c>
      <c r="V27" s="8">
        <f t="shared" si="2"/>
        <v>2160</v>
      </c>
    </row>
    <row r="28" spans="1:22" x14ac:dyDescent="0.25">
      <c r="A28" s="2" t="s">
        <v>7</v>
      </c>
      <c r="B28" s="2" t="s">
        <v>7</v>
      </c>
      <c r="C28" s="2" t="s">
        <v>69</v>
      </c>
      <c r="D28" s="2" t="s">
        <v>83</v>
      </c>
      <c r="E28" s="18">
        <v>154</v>
      </c>
      <c r="F28" s="18">
        <v>1</v>
      </c>
      <c r="G28" s="20"/>
      <c r="H28" s="17">
        <f t="shared" si="0"/>
        <v>154</v>
      </c>
      <c r="I28" s="2"/>
      <c r="J28" s="8">
        <f t="shared" si="5"/>
        <v>154</v>
      </c>
      <c r="K28" s="8">
        <f t="shared" si="4"/>
        <v>154</v>
      </c>
      <c r="L28" s="8">
        <f t="shared" si="4"/>
        <v>154</v>
      </c>
      <c r="M28" s="8">
        <f t="shared" si="4"/>
        <v>154</v>
      </c>
      <c r="N28" s="8">
        <f t="shared" si="4"/>
        <v>154</v>
      </c>
      <c r="O28" s="8">
        <f t="shared" si="4"/>
        <v>154</v>
      </c>
      <c r="P28" s="8">
        <f t="shared" si="4"/>
        <v>154</v>
      </c>
      <c r="Q28" s="8">
        <f t="shared" si="4"/>
        <v>154</v>
      </c>
      <c r="R28" s="8">
        <f t="shared" si="4"/>
        <v>154</v>
      </c>
      <c r="S28" s="8">
        <f t="shared" si="4"/>
        <v>154</v>
      </c>
      <c r="T28" s="8">
        <f t="shared" si="4"/>
        <v>154</v>
      </c>
      <c r="U28" s="8">
        <f t="shared" si="4"/>
        <v>154</v>
      </c>
      <c r="V28" s="8">
        <f t="shared" si="2"/>
        <v>1848</v>
      </c>
    </row>
    <row r="29" spans="1:22" x14ac:dyDescent="0.25">
      <c r="A29" s="2" t="s">
        <v>7</v>
      </c>
      <c r="B29" s="2" t="s">
        <v>7</v>
      </c>
      <c r="C29" s="2" t="s">
        <v>69</v>
      </c>
      <c r="D29" s="2" t="s">
        <v>84</v>
      </c>
      <c r="E29" s="18">
        <v>133</v>
      </c>
      <c r="F29" s="18">
        <v>1</v>
      </c>
      <c r="G29" s="20"/>
      <c r="H29" s="17">
        <f t="shared" si="0"/>
        <v>133</v>
      </c>
      <c r="I29" s="2"/>
      <c r="J29" s="8">
        <f t="shared" si="5"/>
        <v>133</v>
      </c>
      <c r="K29" s="8">
        <f t="shared" si="4"/>
        <v>133</v>
      </c>
      <c r="L29" s="8">
        <f t="shared" si="4"/>
        <v>133</v>
      </c>
      <c r="M29" s="8">
        <f t="shared" si="4"/>
        <v>133</v>
      </c>
      <c r="N29" s="8">
        <f t="shared" si="4"/>
        <v>133</v>
      </c>
      <c r="O29" s="8">
        <f t="shared" si="4"/>
        <v>133</v>
      </c>
      <c r="P29" s="8">
        <f t="shared" si="4"/>
        <v>133</v>
      </c>
      <c r="Q29" s="8">
        <f t="shared" si="4"/>
        <v>133</v>
      </c>
      <c r="R29" s="8">
        <f t="shared" si="4"/>
        <v>133</v>
      </c>
      <c r="S29" s="8">
        <f t="shared" si="4"/>
        <v>133</v>
      </c>
      <c r="T29" s="8">
        <f t="shared" si="4"/>
        <v>133</v>
      </c>
      <c r="U29" s="8">
        <f t="shared" si="4"/>
        <v>133</v>
      </c>
      <c r="V29" s="8">
        <f t="shared" si="2"/>
        <v>1596</v>
      </c>
    </row>
    <row r="30" spans="1:22" x14ac:dyDescent="0.25">
      <c r="A30" s="2" t="s">
        <v>7</v>
      </c>
      <c r="B30" s="2" t="s">
        <v>7</v>
      </c>
      <c r="C30" s="2" t="s">
        <v>69</v>
      </c>
      <c r="D30" s="2" t="s">
        <v>85</v>
      </c>
      <c r="E30" s="18">
        <v>120</v>
      </c>
      <c r="F30" s="18">
        <v>1</v>
      </c>
      <c r="G30" s="20"/>
      <c r="H30" s="17">
        <f t="shared" si="0"/>
        <v>120</v>
      </c>
      <c r="I30" s="2"/>
      <c r="J30" s="8">
        <f t="shared" si="5"/>
        <v>120</v>
      </c>
      <c r="K30" s="8">
        <f t="shared" si="4"/>
        <v>120</v>
      </c>
      <c r="L30" s="8">
        <f t="shared" si="4"/>
        <v>120</v>
      </c>
      <c r="M30" s="8">
        <f t="shared" si="4"/>
        <v>120</v>
      </c>
      <c r="N30" s="8">
        <f t="shared" si="4"/>
        <v>120</v>
      </c>
      <c r="O30" s="8">
        <f t="shared" si="4"/>
        <v>120</v>
      </c>
      <c r="P30" s="8">
        <f t="shared" si="4"/>
        <v>120</v>
      </c>
      <c r="Q30" s="8">
        <f t="shared" si="4"/>
        <v>120</v>
      </c>
      <c r="R30" s="8">
        <f t="shared" si="4"/>
        <v>120</v>
      </c>
      <c r="S30" s="8">
        <f t="shared" si="4"/>
        <v>120</v>
      </c>
      <c r="T30" s="8">
        <f t="shared" si="4"/>
        <v>120</v>
      </c>
      <c r="U30" s="8">
        <f t="shared" si="4"/>
        <v>120</v>
      </c>
      <c r="V30" s="8">
        <f t="shared" si="2"/>
        <v>1440</v>
      </c>
    </row>
    <row r="31" spans="1:22" x14ac:dyDescent="0.25">
      <c r="A31" s="2" t="s">
        <v>7</v>
      </c>
      <c r="B31" s="2" t="s">
        <v>7</v>
      </c>
      <c r="C31" s="2" t="s">
        <v>69</v>
      </c>
      <c r="D31" s="2" t="s">
        <v>86</v>
      </c>
      <c r="E31" s="18">
        <v>8</v>
      </c>
      <c r="F31" s="18">
        <v>2</v>
      </c>
      <c r="G31" s="20"/>
      <c r="H31" s="17">
        <f t="shared" si="0"/>
        <v>16</v>
      </c>
      <c r="I31" s="2"/>
      <c r="J31" s="8">
        <f t="shared" si="5"/>
        <v>16</v>
      </c>
      <c r="K31" s="8">
        <f t="shared" si="4"/>
        <v>16</v>
      </c>
      <c r="L31" s="8">
        <f t="shared" si="4"/>
        <v>16</v>
      </c>
      <c r="M31" s="8">
        <f t="shared" si="4"/>
        <v>16</v>
      </c>
      <c r="N31" s="8">
        <f t="shared" si="4"/>
        <v>16</v>
      </c>
      <c r="O31" s="8">
        <f t="shared" si="4"/>
        <v>16</v>
      </c>
      <c r="P31" s="8">
        <f t="shared" si="4"/>
        <v>16</v>
      </c>
      <c r="Q31" s="8">
        <f t="shared" si="4"/>
        <v>16</v>
      </c>
      <c r="R31" s="8">
        <f t="shared" si="4"/>
        <v>16</v>
      </c>
      <c r="S31" s="8">
        <f t="shared" si="4"/>
        <v>16</v>
      </c>
      <c r="T31" s="8">
        <f t="shared" si="4"/>
        <v>16</v>
      </c>
      <c r="U31" s="8">
        <f t="shared" si="4"/>
        <v>16</v>
      </c>
      <c r="V31" s="8">
        <f t="shared" si="2"/>
        <v>192</v>
      </c>
    </row>
    <row r="32" spans="1:22" x14ac:dyDescent="0.25">
      <c r="A32" s="2" t="s">
        <v>7</v>
      </c>
      <c r="B32" s="2" t="s">
        <v>7</v>
      </c>
      <c r="C32" s="2" t="s">
        <v>69</v>
      </c>
      <c r="D32" s="2" t="s">
        <v>87</v>
      </c>
      <c r="E32" s="18">
        <v>10</v>
      </c>
      <c r="F32" s="18">
        <v>2</v>
      </c>
      <c r="G32" s="20"/>
      <c r="H32" s="17">
        <f t="shared" si="0"/>
        <v>20</v>
      </c>
      <c r="I32" s="2"/>
      <c r="J32" s="8">
        <f t="shared" si="5"/>
        <v>20</v>
      </c>
      <c r="K32" s="8">
        <f t="shared" si="4"/>
        <v>20</v>
      </c>
      <c r="L32" s="8">
        <f t="shared" si="4"/>
        <v>20</v>
      </c>
      <c r="M32" s="8">
        <f t="shared" si="4"/>
        <v>20</v>
      </c>
      <c r="N32" s="8">
        <f t="shared" si="4"/>
        <v>20</v>
      </c>
      <c r="O32" s="8">
        <f t="shared" si="4"/>
        <v>20</v>
      </c>
      <c r="P32" s="8">
        <f t="shared" si="4"/>
        <v>20</v>
      </c>
      <c r="Q32" s="8">
        <f t="shared" si="4"/>
        <v>20</v>
      </c>
      <c r="R32" s="8">
        <f t="shared" si="4"/>
        <v>20</v>
      </c>
      <c r="S32" s="8">
        <f t="shared" si="4"/>
        <v>20</v>
      </c>
      <c r="T32" s="8">
        <f t="shared" si="4"/>
        <v>20</v>
      </c>
      <c r="U32" s="8">
        <f t="shared" si="4"/>
        <v>20</v>
      </c>
      <c r="V32" s="8">
        <f t="shared" si="2"/>
        <v>240</v>
      </c>
    </row>
    <row r="33" spans="1:22" x14ac:dyDescent="0.25">
      <c r="A33" s="2" t="s">
        <v>7</v>
      </c>
      <c r="B33" s="2" t="s">
        <v>7</v>
      </c>
      <c r="C33" s="2" t="s">
        <v>69</v>
      </c>
      <c r="D33" s="2" t="s">
        <v>88</v>
      </c>
      <c r="E33" s="18">
        <v>5</v>
      </c>
      <c r="F33" s="18">
        <v>1</v>
      </c>
      <c r="G33" s="20"/>
      <c r="H33" s="17">
        <f t="shared" si="0"/>
        <v>5</v>
      </c>
      <c r="I33" s="2"/>
      <c r="J33" s="8">
        <f t="shared" si="5"/>
        <v>5</v>
      </c>
      <c r="K33" s="8">
        <f t="shared" si="4"/>
        <v>5</v>
      </c>
      <c r="L33" s="8">
        <f t="shared" si="4"/>
        <v>5</v>
      </c>
      <c r="M33" s="8">
        <f t="shared" si="4"/>
        <v>5</v>
      </c>
      <c r="N33" s="8">
        <f t="shared" si="4"/>
        <v>5</v>
      </c>
      <c r="O33" s="8">
        <f t="shared" si="4"/>
        <v>5</v>
      </c>
      <c r="P33" s="8">
        <f t="shared" si="4"/>
        <v>5</v>
      </c>
      <c r="Q33" s="8">
        <f t="shared" si="4"/>
        <v>5</v>
      </c>
      <c r="R33" s="8">
        <f t="shared" si="4"/>
        <v>5</v>
      </c>
      <c r="S33" s="8">
        <f t="shared" si="4"/>
        <v>5</v>
      </c>
      <c r="T33" s="8">
        <f t="shared" si="4"/>
        <v>5</v>
      </c>
      <c r="U33" s="8">
        <f t="shared" si="4"/>
        <v>5</v>
      </c>
      <c r="V33" s="8">
        <f t="shared" si="2"/>
        <v>60</v>
      </c>
    </row>
    <row r="34" spans="1:22" x14ac:dyDescent="0.25">
      <c r="A34" s="2" t="s">
        <v>7</v>
      </c>
      <c r="B34" s="2" t="s">
        <v>7</v>
      </c>
      <c r="C34" s="2" t="s">
        <v>92</v>
      </c>
      <c r="D34" s="2" t="s">
        <v>152</v>
      </c>
      <c r="E34" s="18">
        <v>75</v>
      </c>
      <c r="F34" s="18">
        <v>1</v>
      </c>
      <c r="G34" s="20"/>
      <c r="H34" s="17">
        <f t="shared" si="0"/>
        <v>75</v>
      </c>
      <c r="I34" s="2"/>
      <c r="J34" s="8">
        <f t="shared" si="5"/>
        <v>75</v>
      </c>
      <c r="K34" s="8">
        <f t="shared" si="4"/>
        <v>75</v>
      </c>
      <c r="L34" s="8">
        <f t="shared" si="4"/>
        <v>75</v>
      </c>
      <c r="M34" s="8">
        <f t="shared" si="4"/>
        <v>75</v>
      </c>
      <c r="N34" s="8">
        <f t="shared" si="4"/>
        <v>75</v>
      </c>
      <c r="O34" s="8">
        <f t="shared" si="4"/>
        <v>75</v>
      </c>
      <c r="P34" s="8">
        <f t="shared" si="4"/>
        <v>75</v>
      </c>
      <c r="Q34" s="8">
        <f t="shared" si="4"/>
        <v>75</v>
      </c>
      <c r="R34" s="8">
        <f t="shared" si="4"/>
        <v>75</v>
      </c>
      <c r="S34" s="8">
        <f t="shared" si="4"/>
        <v>75</v>
      </c>
      <c r="T34" s="8">
        <f t="shared" si="4"/>
        <v>75</v>
      </c>
      <c r="U34" s="8">
        <f t="shared" si="4"/>
        <v>75</v>
      </c>
      <c r="V34" s="8">
        <f t="shared" si="2"/>
        <v>900</v>
      </c>
    </row>
    <row r="35" spans="1:22" x14ac:dyDescent="0.25">
      <c r="A35" s="2" t="s">
        <v>7</v>
      </c>
      <c r="B35" s="2" t="s">
        <v>7</v>
      </c>
      <c r="C35" s="2" t="s">
        <v>69</v>
      </c>
      <c r="D35" s="2" t="s">
        <v>89</v>
      </c>
      <c r="E35" s="18">
        <v>190</v>
      </c>
      <c r="F35" s="18">
        <v>1</v>
      </c>
      <c r="G35" s="20"/>
      <c r="H35" s="17">
        <f t="shared" si="0"/>
        <v>190</v>
      </c>
      <c r="I35" s="2" t="s">
        <v>90</v>
      </c>
      <c r="J35" s="8">
        <f t="shared" si="5"/>
        <v>190</v>
      </c>
      <c r="K35" s="8">
        <f t="shared" si="4"/>
        <v>190</v>
      </c>
      <c r="L35" s="8">
        <f t="shared" si="4"/>
        <v>190</v>
      </c>
      <c r="M35" s="8">
        <f t="shared" si="4"/>
        <v>190</v>
      </c>
      <c r="N35" s="8">
        <f t="shared" si="4"/>
        <v>190</v>
      </c>
      <c r="O35" s="8">
        <f t="shared" si="4"/>
        <v>190</v>
      </c>
      <c r="P35" s="8">
        <f t="shared" si="4"/>
        <v>190</v>
      </c>
      <c r="Q35" s="8">
        <f t="shared" si="4"/>
        <v>190</v>
      </c>
      <c r="R35" s="8">
        <f t="shared" si="4"/>
        <v>190</v>
      </c>
      <c r="S35" s="8">
        <f t="shared" si="4"/>
        <v>190</v>
      </c>
      <c r="T35" s="8">
        <f t="shared" si="4"/>
        <v>190</v>
      </c>
      <c r="U35" s="8">
        <f t="shared" si="4"/>
        <v>190</v>
      </c>
      <c r="V35" s="8">
        <f t="shared" si="2"/>
        <v>2280</v>
      </c>
    </row>
    <row r="36" spans="1:22" x14ac:dyDescent="0.25">
      <c r="A36" s="2" t="s">
        <v>7</v>
      </c>
      <c r="B36" s="2" t="s">
        <v>7</v>
      </c>
      <c r="C36" s="2" t="s">
        <v>69</v>
      </c>
      <c r="D36" s="2" t="s">
        <v>91</v>
      </c>
      <c r="E36" s="18">
        <v>95</v>
      </c>
      <c r="F36" s="18">
        <v>1</v>
      </c>
      <c r="G36" s="20"/>
      <c r="H36" s="17">
        <f t="shared" si="0"/>
        <v>95</v>
      </c>
      <c r="I36" s="2" t="s">
        <v>90</v>
      </c>
      <c r="J36" s="8">
        <f t="shared" si="5"/>
        <v>95</v>
      </c>
      <c r="K36" s="8">
        <f t="shared" si="4"/>
        <v>95</v>
      </c>
      <c r="L36" s="8">
        <f t="shared" si="4"/>
        <v>95</v>
      </c>
      <c r="M36" s="8">
        <f t="shared" si="4"/>
        <v>95</v>
      </c>
      <c r="N36" s="8">
        <f t="shared" si="4"/>
        <v>95</v>
      </c>
      <c r="O36" s="8">
        <f t="shared" si="4"/>
        <v>95</v>
      </c>
      <c r="P36" s="8">
        <f t="shared" si="4"/>
        <v>95</v>
      </c>
      <c r="Q36" s="8">
        <f t="shared" si="4"/>
        <v>95</v>
      </c>
      <c r="R36" s="8">
        <f t="shared" si="4"/>
        <v>95</v>
      </c>
      <c r="S36" s="8">
        <f t="shared" si="4"/>
        <v>95</v>
      </c>
      <c r="T36" s="8">
        <f t="shared" si="4"/>
        <v>95</v>
      </c>
      <c r="U36" s="8">
        <f t="shared" si="4"/>
        <v>95</v>
      </c>
      <c r="V36" s="8">
        <f t="shared" si="2"/>
        <v>1140</v>
      </c>
    </row>
    <row r="37" spans="1:22" x14ac:dyDescent="0.25">
      <c r="A37" s="2" t="s">
        <v>7</v>
      </c>
      <c r="B37" s="2" t="s">
        <v>7</v>
      </c>
      <c r="C37" s="2" t="s">
        <v>92</v>
      </c>
      <c r="D37" s="2" t="s">
        <v>93</v>
      </c>
      <c r="E37" s="18">
        <v>1368</v>
      </c>
      <c r="F37" s="18">
        <v>1</v>
      </c>
      <c r="G37" s="20"/>
      <c r="H37" s="17">
        <f t="shared" si="0"/>
        <v>1368</v>
      </c>
      <c r="I37" s="2" t="s">
        <v>94</v>
      </c>
      <c r="J37" s="8">
        <f t="shared" si="5"/>
        <v>1368</v>
      </c>
      <c r="K37" s="8">
        <f t="shared" si="4"/>
        <v>1368</v>
      </c>
      <c r="L37" s="8">
        <f t="shared" si="4"/>
        <v>1368</v>
      </c>
      <c r="M37" s="8">
        <f t="shared" si="4"/>
        <v>1368</v>
      </c>
      <c r="N37" s="8">
        <f t="shared" si="4"/>
        <v>1368</v>
      </c>
      <c r="O37" s="8">
        <f t="shared" si="4"/>
        <v>1368</v>
      </c>
      <c r="P37" s="8">
        <f t="shared" si="4"/>
        <v>1368</v>
      </c>
      <c r="Q37" s="8">
        <f t="shared" si="4"/>
        <v>1368</v>
      </c>
      <c r="R37" s="8">
        <f t="shared" si="4"/>
        <v>1368</v>
      </c>
      <c r="S37" s="8">
        <f t="shared" si="4"/>
        <v>1368</v>
      </c>
      <c r="T37" s="8">
        <f t="shared" si="4"/>
        <v>1368</v>
      </c>
      <c r="U37" s="8">
        <f t="shared" si="4"/>
        <v>1368</v>
      </c>
      <c r="V37" s="8">
        <f t="shared" si="2"/>
        <v>16416</v>
      </c>
    </row>
    <row r="38" spans="1:22" x14ac:dyDescent="0.25">
      <c r="A38" s="2" t="s">
        <v>7</v>
      </c>
      <c r="B38" s="2" t="s">
        <v>7</v>
      </c>
      <c r="C38" s="2" t="s">
        <v>95</v>
      </c>
      <c r="D38" s="2" t="s">
        <v>96</v>
      </c>
      <c r="E38" s="18">
        <f>2188/6</f>
        <v>364.66666666666669</v>
      </c>
      <c r="F38" s="18">
        <v>1</v>
      </c>
      <c r="G38" s="20"/>
      <c r="H38" s="17">
        <f t="shared" si="0"/>
        <v>364.66666666666669</v>
      </c>
      <c r="I38" s="2" t="s">
        <v>148</v>
      </c>
      <c r="J38" s="8">
        <f t="shared" ref="J38:J44" si="6">$H38</f>
        <v>364.66666666666669</v>
      </c>
      <c r="K38" s="8">
        <f t="shared" ref="K38:U40" si="7">$H38</f>
        <v>364.66666666666669</v>
      </c>
      <c r="L38" s="8">
        <f t="shared" si="7"/>
        <v>364.66666666666669</v>
      </c>
      <c r="M38" s="8">
        <f t="shared" si="7"/>
        <v>364.66666666666669</v>
      </c>
      <c r="N38" s="8">
        <f t="shared" si="7"/>
        <v>364.66666666666669</v>
      </c>
      <c r="O38" s="8">
        <f t="shared" si="7"/>
        <v>364.66666666666669</v>
      </c>
      <c r="P38" s="8">
        <f t="shared" si="7"/>
        <v>364.66666666666669</v>
      </c>
      <c r="Q38" s="8">
        <f t="shared" si="7"/>
        <v>364.66666666666669</v>
      </c>
      <c r="R38" s="8">
        <f t="shared" si="7"/>
        <v>364.66666666666669</v>
      </c>
      <c r="S38" s="8">
        <f t="shared" si="7"/>
        <v>364.66666666666669</v>
      </c>
      <c r="T38" s="8">
        <f t="shared" si="7"/>
        <v>364.66666666666669</v>
      </c>
      <c r="U38" s="8">
        <f t="shared" si="7"/>
        <v>364.66666666666669</v>
      </c>
      <c r="V38" s="8">
        <f t="shared" si="2"/>
        <v>4375.9999999999991</v>
      </c>
    </row>
    <row r="39" spans="1:22" x14ac:dyDescent="0.25">
      <c r="A39" s="2" t="s">
        <v>7</v>
      </c>
      <c r="B39" s="2" t="s">
        <v>7</v>
      </c>
      <c r="C39" s="2" t="s">
        <v>97</v>
      </c>
      <c r="D39" s="2" t="s">
        <v>98</v>
      </c>
      <c r="E39" s="18">
        <v>172.10000000000002</v>
      </c>
      <c r="F39" s="18">
        <v>1</v>
      </c>
      <c r="G39" s="20"/>
      <c r="H39" s="17">
        <f t="shared" si="0"/>
        <v>172.10000000000002</v>
      </c>
      <c r="I39" s="2" t="s">
        <v>99</v>
      </c>
      <c r="J39" s="8">
        <f t="shared" si="6"/>
        <v>172.10000000000002</v>
      </c>
      <c r="K39" s="8">
        <f t="shared" si="7"/>
        <v>172.10000000000002</v>
      </c>
      <c r="L39" s="8">
        <f t="shared" si="7"/>
        <v>172.10000000000002</v>
      </c>
      <c r="M39" s="8">
        <f t="shared" si="7"/>
        <v>172.10000000000002</v>
      </c>
      <c r="N39" s="8">
        <f t="shared" si="7"/>
        <v>172.10000000000002</v>
      </c>
      <c r="O39" s="8">
        <f t="shared" si="7"/>
        <v>172.10000000000002</v>
      </c>
      <c r="P39" s="8">
        <f t="shared" si="7"/>
        <v>172.10000000000002</v>
      </c>
      <c r="Q39" s="8">
        <f t="shared" si="7"/>
        <v>172.10000000000002</v>
      </c>
      <c r="R39" s="8">
        <f t="shared" si="7"/>
        <v>172.10000000000002</v>
      </c>
      <c r="S39" s="8">
        <f t="shared" si="7"/>
        <v>172.10000000000002</v>
      </c>
      <c r="T39" s="8">
        <f t="shared" si="7"/>
        <v>172.10000000000002</v>
      </c>
      <c r="U39" s="8">
        <f t="shared" si="7"/>
        <v>172.10000000000002</v>
      </c>
      <c r="V39" s="8">
        <f t="shared" si="2"/>
        <v>2065.1999999999998</v>
      </c>
    </row>
    <row r="40" spans="1:22" x14ac:dyDescent="0.25">
      <c r="A40" s="2" t="s">
        <v>7</v>
      </c>
      <c r="B40" s="2" t="s">
        <v>7</v>
      </c>
      <c r="C40" s="2" t="s">
        <v>100</v>
      </c>
      <c r="D40" s="2" t="s">
        <v>101</v>
      </c>
      <c r="E40" s="18">
        <v>295</v>
      </c>
      <c r="F40" s="18">
        <v>1</v>
      </c>
      <c r="G40" s="20"/>
      <c r="H40" s="17">
        <f t="shared" si="0"/>
        <v>295</v>
      </c>
      <c r="I40" s="2" t="s">
        <v>102</v>
      </c>
      <c r="J40" s="8">
        <f t="shared" si="6"/>
        <v>295</v>
      </c>
      <c r="K40" s="8">
        <f t="shared" si="7"/>
        <v>295</v>
      </c>
      <c r="L40" s="8">
        <f t="shared" si="7"/>
        <v>295</v>
      </c>
      <c r="M40" s="8">
        <f t="shared" si="7"/>
        <v>295</v>
      </c>
      <c r="N40" s="8">
        <f t="shared" si="7"/>
        <v>295</v>
      </c>
      <c r="O40" s="8">
        <f t="shared" si="7"/>
        <v>295</v>
      </c>
      <c r="P40" s="8">
        <f t="shared" si="7"/>
        <v>295</v>
      </c>
      <c r="Q40" s="8">
        <f t="shared" si="7"/>
        <v>295</v>
      </c>
      <c r="R40" s="8">
        <f t="shared" si="7"/>
        <v>295</v>
      </c>
      <c r="S40" s="8">
        <f t="shared" si="7"/>
        <v>295</v>
      </c>
      <c r="T40" s="8">
        <f t="shared" si="7"/>
        <v>295</v>
      </c>
      <c r="U40" s="8">
        <f t="shared" si="7"/>
        <v>295</v>
      </c>
      <c r="V40" s="8">
        <f t="shared" si="2"/>
        <v>3540</v>
      </c>
    </row>
    <row r="41" spans="1:22" x14ac:dyDescent="0.25">
      <c r="A41" s="2" t="s">
        <v>7</v>
      </c>
      <c r="B41" s="2" t="s">
        <v>7</v>
      </c>
      <c r="C41" s="2" t="s">
        <v>103</v>
      </c>
      <c r="D41" s="2"/>
      <c r="E41" s="18"/>
      <c r="F41" s="18">
        <v>1</v>
      </c>
      <c r="G41" s="20"/>
      <c r="H41" s="17">
        <f t="shared" si="0"/>
        <v>0</v>
      </c>
      <c r="I41" s="2" t="s">
        <v>104</v>
      </c>
      <c r="J41" s="8">
        <f t="shared" si="6"/>
        <v>0</v>
      </c>
      <c r="K41" s="8">
        <f t="shared" ref="K41:U47" si="8">$H41</f>
        <v>0</v>
      </c>
      <c r="L41" s="8">
        <f t="shared" si="8"/>
        <v>0</v>
      </c>
      <c r="M41" s="8">
        <f t="shared" si="8"/>
        <v>0</v>
      </c>
      <c r="N41" s="8">
        <f t="shared" si="8"/>
        <v>0</v>
      </c>
      <c r="O41" s="8">
        <f t="shared" si="8"/>
        <v>0</v>
      </c>
      <c r="P41" s="8">
        <f t="shared" si="8"/>
        <v>0</v>
      </c>
      <c r="Q41" s="8">
        <f t="shared" si="8"/>
        <v>0</v>
      </c>
      <c r="R41" s="8">
        <f t="shared" si="8"/>
        <v>0</v>
      </c>
      <c r="S41" s="8">
        <f t="shared" si="8"/>
        <v>0</v>
      </c>
      <c r="T41" s="8">
        <f t="shared" si="8"/>
        <v>0</v>
      </c>
      <c r="U41" s="8">
        <f t="shared" si="8"/>
        <v>0</v>
      </c>
      <c r="V41" s="8">
        <f t="shared" si="2"/>
        <v>0</v>
      </c>
    </row>
    <row r="42" spans="1:22" x14ac:dyDescent="0.25">
      <c r="A42" s="2" t="s">
        <v>7</v>
      </c>
      <c r="B42" s="2" t="s">
        <v>7</v>
      </c>
      <c r="C42" s="2" t="s">
        <v>105</v>
      </c>
      <c r="D42" s="2" t="s">
        <v>106</v>
      </c>
      <c r="E42" s="18">
        <v>41.79</v>
      </c>
      <c r="F42" s="18">
        <v>1</v>
      </c>
      <c r="G42" s="20"/>
      <c r="H42" s="17">
        <f t="shared" si="0"/>
        <v>41.79</v>
      </c>
      <c r="I42" s="2" t="s">
        <v>149</v>
      </c>
      <c r="J42" s="8">
        <f t="shared" si="6"/>
        <v>41.79</v>
      </c>
      <c r="K42" s="8">
        <f t="shared" si="8"/>
        <v>41.79</v>
      </c>
      <c r="L42" s="8">
        <f t="shared" si="8"/>
        <v>41.79</v>
      </c>
      <c r="M42" s="8">
        <f t="shared" si="8"/>
        <v>41.79</v>
      </c>
      <c r="N42" s="8">
        <f t="shared" si="8"/>
        <v>41.79</v>
      </c>
      <c r="O42" s="8">
        <f t="shared" si="8"/>
        <v>41.79</v>
      </c>
      <c r="P42" s="8">
        <f t="shared" si="8"/>
        <v>41.79</v>
      </c>
      <c r="Q42" s="8">
        <f t="shared" si="8"/>
        <v>41.79</v>
      </c>
      <c r="R42" s="8">
        <f t="shared" si="8"/>
        <v>41.79</v>
      </c>
      <c r="S42" s="8">
        <f t="shared" si="8"/>
        <v>41.79</v>
      </c>
      <c r="T42" s="8">
        <f t="shared" si="8"/>
        <v>41.79</v>
      </c>
      <c r="U42" s="8">
        <f t="shared" si="8"/>
        <v>41.79</v>
      </c>
      <c r="V42" s="8">
        <f t="shared" si="2"/>
        <v>501.48000000000008</v>
      </c>
    </row>
    <row r="43" spans="1:22" x14ac:dyDescent="0.25">
      <c r="A43" s="2" t="s">
        <v>7</v>
      </c>
      <c r="B43" s="2" t="s">
        <v>7</v>
      </c>
      <c r="C43" s="2" t="s">
        <v>107</v>
      </c>
      <c r="D43" s="2" t="s">
        <v>106</v>
      </c>
      <c r="E43" s="18">
        <v>130.95333333333335</v>
      </c>
      <c r="F43" s="18">
        <v>1</v>
      </c>
      <c r="G43" s="20"/>
      <c r="H43" s="17">
        <f t="shared" si="0"/>
        <v>130.95333333333335</v>
      </c>
      <c r="I43" s="2" t="s">
        <v>108</v>
      </c>
      <c r="J43" s="8">
        <f t="shared" si="6"/>
        <v>130.95333333333335</v>
      </c>
      <c r="K43" s="8">
        <f t="shared" si="8"/>
        <v>130.95333333333335</v>
      </c>
      <c r="L43" s="8">
        <f t="shared" si="8"/>
        <v>130.95333333333335</v>
      </c>
      <c r="M43" s="8">
        <f t="shared" si="8"/>
        <v>130.95333333333335</v>
      </c>
      <c r="N43" s="8">
        <f t="shared" si="8"/>
        <v>130.95333333333335</v>
      </c>
      <c r="O43" s="8">
        <f t="shared" si="8"/>
        <v>130.95333333333335</v>
      </c>
      <c r="P43" s="8">
        <f t="shared" si="8"/>
        <v>130.95333333333335</v>
      </c>
      <c r="Q43" s="8">
        <f t="shared" si="8"/>
        <v>130.95333333333335</v>
      </c>
      <c r="R43" s="8">
        <f t="shared" si="8"/>
        <v>130.95333333333335</v>
      </c>
      <c r="S43" s="8">
        <f t="shared" si="8"/>
        <v>130.95333333333335</v>
      </c>
      <c r="T43" s="8">
        <f t="shared" si="8"/>
        <v>130.95333333333335</v>
      </c>
      <c r="U43" s="8">
        <f t="shared" si="8"/>
        <v>130.95333333333335</v>
      </c>
      <c r="V43" s="8">
        <f t="shared" si="2"/>
        <v>1571.4400000000003</v>
      </c>
    </row>
    <row r="44" spans="1:22" x14ac:dyDescent="0.25">
      <c r="A44" s="2" t="s">
        <v>7</v>
      </c>
      <c r="B44" s="2" t="s">
        <v>7</v>
      </c>
      <c r="C44" s="2" t="s">
        <v>109</v>
      </c>
      <c r="D44" s="2" t="s">
        <v>110</v>
      </c>
      <c r="E44" s="18">
        <f>1058/12</f>
        <v>88.166666666666671</v>
      </c>
      <c r="F44" s="18">
        <v>1</v>
      </c>
      <c r="G44" s="20"/>
      <c r="H44" s="17">
        <f t="shared" si="0"/>
        <v>88.166666666666671</v>
      </c>
      <c r="I44" s="2" t="s">
        <v>150</v>
      </c>
      <c r="J44" s="8">
        <f t="shared" si="6"/>
        <v>88.166666666666671</v>
      </c>
      <c r="K44" s="8">
        <f t="shared" si="8"/>
        <v>88.166666666666671</v>
      </c>
      <c r="L44" s="8">
        <f t="shared" si="8"/>
        <v>88.166666666666671</v>
      </c>
      <c r="M44" s="8">
        <f t="shared" si="8"/>
        <v>88.166666666666671</v>
      </c>
      <c r="N44" s="8">
        <f t="shared" si="8"/>
        <v>88.166666666666671</v>
      </c>
      <c r="O44" s="8">
        <f t="shared" si="8"/>
        <v>88.166666666666671</v>
      </c>
      <c r="P44" s="8">
        <f t="shared" si="8"/>
        <v>88.166666666666671</v>
      </c>
      <c r="Q44" s="8">
        <f t="shared" si="8"/>
        <v>88.166666666666671</v>
      </c>
      <c r="R44" s="8">
        <f t="shared" si="8"/>
        <v>88.166666666666671</v>
      </c>
      <c r="S44" s="8">
        <f t="shared" si="8"/>
        <v>88.166666666666671</v>
      </c>
      <c r="T44" s="8">
        <f t="shared" si="8"/>
        <v>88.166666666666671</v>
      </c>
      <c r="U44" s="8">
        <f t="shared" si="8"/>
        <v>88.166666666666671</v>
      </c>
      <c r="V44" s="8">
        <f t="shared" si="2"/>
        <v>1057.9999999999998</v>
      </c>
    </row>
    <row r="45" spans="1:22" x14ac:dyDescent="0.25">
      <c r="A45" s="2" t="s">
        <v>7</v>
      </c>
      <c r="B45" s="2" t="s">
        <v>7</v>
      </c>
      <c r="C45" s="2" t="s">
        <v>111</v>
      </c>
      <c r="D45" s="2" t="s">
        <v>112</v>
      </c>
      <c r="E45" s="18"/>
      <c r="F45" s="18"/>
      <c r="G45" s="20"/>
      <c r="H45" s="17">
        <f t="shared" si="0"/>
        <v>0</v>
      </c>
      <c r="I45" s="2" t="s">
        <v>151</v>
      </c>
      <c r="J45" s="8">
        <f t="shared" ref="J45:J46" si="9">$H45</f>
        <v>0</v>
      </c>
      <c r="K45" s="8">
        <f t="shared" si="8"/>
        <v>0</v>
      </c>
      <c r="L45" s="8">
        <f t="shared" si="8"/>
        <v>0</v>
      </c>
      <c r="M45" s="8">
        <f t="shared" si="8"/>
        <v>0</v>
      </c>
      <c r="N45" s="8">
        <f t="shared" si="8"/>
        <v>0</v>
      </c>
      <c r="O45" s="8">
        <f t="shared" si="8"/>
        <v>0</v>
      </c>
      <c r="P45" s="8">
        <f t="shared" si="8"/>
        <v>0</v>
      </c>
      <c r="Q45" s="8">
        <f t="shared" si="8"/>
        <v>0</v>
      </c>
      <c r="R45" s="8">
        <f t="shared" si="8"/>
        <v>0</v>
      </c>
      <c r="S45" s="8">
        <f t="shared" si="8"/>
        <v>0</v>
      </c>
      <c r="T45" s="8">
        <f t="shared" si="8"/>
        <v>0</v>
      </c>
      <c r="U45" s="8">
        <f t="shared" si="8"/>
        <v>0</v>
      </c>
      <c r="V45" s="8">
        <f t="shared" si="2"/>
        <v>0</v>
      </c>
    </row>
    <row r="46" spans="1:22" x14ac:dyDescent="0.25">
      <c r="A46" s="2" t="s">
        <v>7</v>
      </c>
      <c r="B46" s="2" t="s">
        <v>7</v>
      </c>
      <c r="C46" s="2" t="s">
        <v>113</v>
      </c>
      <c r="D46" s="2" t="s">
        <v>114</v>
      </c>
      <c r="E46" s="18">
        <v>76.224166666666676</v>
      </c>
      <c r="F46" s="18">
        <v>0</v>
      </c>
      <c r="G46" s="20"/>
      <c r="H46" s="17">
        <f t="shared" si="0"/>
        <v>0</v>
      </c>
      <c r="I46" s="2" t="s">
        <v>151</v>
      </c>
      <c r="J46" s="8">
        <f t="shared" si="9"/>
        <v>0</v>
      </c>
      <c r="K46" s="8">
        <f t="shared" si="8"/>
        <v>0</v>
      </c>
      <c r="L46" s="8">
        <f t="shared" si="8"/>
        <v>0</v>
      </c>
      <c r="M46" s="8">
        <f t="shared" si="8"/>
        <v>0</v>
      </c>
      <c r="N46" s="8">
        <f t="shared" si="8"/>
        <v>0</v>
      </c>
      <c r="O46" s="8">
        <f t="shared" si="8"/>
        <v>0</v>
      </c>
      <c r="P46" s="8">
        <f t="shared" si="8"/>
        <v>0</v>
      </c>
      <c r="Q46" s="8">
        <f t="shared" si="8"/>
        <v>0</v>
      </c>
      <c r="R46" s="8">
        <f t="shared" si="8"/>
        <v>0</v>
      </c>
      <c r="S46" s="8">
        <f t="shared" si="8"/>
        <v>0</v>
      </c>
      <c r="T46" s="8">
        <f t="shared" si="8"/>
        <v>0</v>
      </c>
      <c r="U46" s="8">
        <f t="shared" si="8"/>
        <v>0</v>
      </c>
      <c r="V46" s="8">
        <f t="shared" si="2"/>
        <v>0</v>
      </c>
    </row>
    <row r="47" spans="1:22" x14ac:dyDescent="0.25">
      <c r="A47" s="2" t="s">
        <v>7</v>
      </c>
      <c r="B47" s="2" t="s">
        <v>7</v>
      </c>
      <c r="C47" s="2" t="s">
        <v>115</v>
      </c>
      <c r="D47" s="2" t="s">
        <v>93</v>
      </c>
      <c r="E47" s="18">
        <v>1200</v>
      </c>
      <c r="F47" s="18">
        <v>1</v>
      </c>
      <c r="G47" s="20"/>
      <c r="H47" s="17">
        <f t="shared" si="0"/>
        <v>1200</v>
      </c>
      <c r="I47" s="2" t="s">
        <v>116</v>
      </c>
      <c r="J47" s="8"/>
      <c r="K47" s="8"/>
      <c r="L47" s="22">
        <f t="shared" si="8"/>
        <v>1200</v>
      </c>
      <c r="M47" s="8"/>
      <c r="N47" s="8"/>
      <c r="O47" s="22">
        <f t="shared" si="8"/>
        <v>1200</v>
      </c>
      <c r="P47" s="8"/>
      <c r="Q47" s="8"/>
      <c r="R47" s="22">
        <f t="shared" si="8"/>
        <v>1200</v>
      </c>
      <c r="S47" s="8"/>
      <c r="T47" s="8"/>
      <c r="U47" s="22">
        <f t="shared" si="8"/>
        <v>1200</v>
      </c>
      <c r="V47" s="8">
        <f t="shared" si="2"/>
        <v>4800</v>
      </c>
    </row>
    <row r="48" spans="1:22" x14ac:dyDescent="0.25">
      <c r="A48" s="2" t="s">
        <v>7</v>
      </c>
      <c r="B48" s="2" t="s">
        <v>7</v>
      </c>
      <c r="C48" s="2" t="s">
        <v>117</v>
      </c>
      <c r="D48" s="2"/>
      <c r="E48" s="18">
        <v>88.17</v>
      </c>
      <c r="F48" s="18">
        <v>1</v>
      </c>
      <c r="G48" s="20"/>
      <c r="H48" s="17">
        <f t="shared" si="0"/>
        <v>88.17</v>
      </c>
      <c r="I48" s="2"/>
      <c r="J48" s="8">
        <f>$H48</f>
        <v>88.17</v>
      </c>
      <c r="K48" s="8">
        <f t="shared" ref="J48:U51" si="10">$H48</f>
        <v>88.17</v>
      </c>
      <c r="L48" s="8">
        <f t="shared" si="10"/>
        <v>88.17</v>
      </c>
      <c r="M48" s="8">
        <f t="shared" si="10"/>
        <v>88.17</v>
      </c>
      <c r="N48" s="8">
        <f t="shared" si="10"/>
        <v>88.17</v>
      </c>
      <c r="O48" s="8">
        <f t="shared" si="10"/>
        <v>88.17</v>
      </c>
      <c r="P48" s="8">
        <f t="shared" si="10"/>
        <v>88.17</v>
      </c>
      <c r="Q48" s="8">
        <f t="shared" si="10"/>
        <v>88.17</v>
      </c>
      <c r="R48" s="8">
        <f t="shared" si="10"/>
        <v>88.17</v>
      </c>
      <c r="S48" s="8">
        <f t="shared" si="10"/>
        <v>88.17</v>
      </c>
      <c r="T48" s="8">
        <f t="shared" si="10"/>
        <v>88.17</v>
      </c>
      <c r="U48" s="8">
        <f t="shared" si="10"/>
        <v>88.17</v>
      </c>
      <c r="V48" s="8">
        <f t="shared" si="2"/>
        <v>1058.0399999999997</v>
      </c>
    </row>
    <row r="49" spans="1:22" x14ac:dyDescent="0.25">
      <c r="A49" s="2" t="s">
        <v>7</v>
      </c>
      <c r="B49" s="2" t="s">
        <v>7</v>
      </c>
      <c r="C49" s="2" t="s">
        <v>118</v>
      </c>
      <c r="D49" s="2" t="s">
        <v>119</v>
      </c>
      <c r="E49" s="18">
        <v>46.15</v>
      </c>
      <c r="F49" s="18">
        <v>1</v>
      </c>
      <c r="G49" s="20"/>
      <c r="H49" s="17">
        <f t="shared" si="0"/>
        <v>46.15</v>
      </c>
      <c r="I49" s="2" t="s">
        <v>120</v>
      </c>
      <c r="J49" s="8">
        <f>$H49</f>
        <v>46.15</v>
      </c>
      <c r="K49" s="8">
        <f t="shared" si="10"/>
        <v>46.15</v>
      </c>
      <c r="L49" s="8">
        <f t="shared" si="10"/>
        <v>46.15</v>
      </c>
      <c r="M49" s="8">
        <f t="shared" si="10"/>
        <v>46.15</v>
      </c>
      <c r="N49" s="8">
        <f t="shared" si="10"/>
        <v>46.15</v>
      </c>
      <c r="O49" s="8">
        <f t="shared" si="10"/>
        <v>46.15</v>
      </c>
      <c r="P49" s="8">
        <f t="shared" si="10"/>
        <v>46.15</v>
      </c>
      <c r="Q49" s="8">
        <f t="shared" si="10"/>
        <v>46.15</v>
      </c>
      <c r="R49" s="8">
        <f t="shared" si="10"/>
        <v>46.15</v>
      </c>
      <c r="S49" s="8">
        <f t="shared" si="10"/>
        <v>46.15</v>
      </c>
      <c r="T49" s="8">
        <f t="shared" si="10"/>
        <v>46.15</v>
      </c>
      <c r="U49" s="8">
        <f t="shared" si="10"/>
        <v>46.15</v>
      </c>
      <c r="V49" s="8">
        <f t="shared" si="2"/>
        <v>553.79999999999984</v>
      </c>
    </row>
    <row r="50" spans="1:22" x14ac:dyDescent="0.25">
      <c r="A50" s="2" t="s">
        <v>7</v>
      </c>
      <c r="B50" s="2" t="s">
        <v>7</v>
      </c>
      <c r="C50" s="2" t="s">
        <v>121</v>
      </c>
      <c r="D50" s="2" t="s">
        <v>171</v>
      </c>
      <c r="E50" s="18">
        <f>30000/12</f>
        <v>2500</v>
      </c>
      <c r="F50" s="18">
        <v>1</v>
      </c>
      <c r="G50" s="20"/>
      <c r="H50" s="17">
        <f t="shared" si="0"/>
        <v>2500</v>
      </c>
      <c r="I50" s="2" t="s">
        <v>172</v>
      </c>
      <c r="J50" s="8">
        <f t="shared" si="10"/>
        <v>2500</v>
      </c>
      <c r="K50" s="8">
        <f t="shared" si="10"/>
        <v>2500</v>
      </c>
      <c r="L50" s="8">
        <f t="shared" si="10"/>
        <v>2500</v>
      </c>
      <c r="M50" s="8">
        <f t="shared" si="10"/>
        <v>2500</v>
      </c>
      <c r="N50" s="8">
        <f t="shared" si="10"/>
        <v>2500</v>
      </c>
      <c r="O50" s="8">
        <f t="shared" si="10"/>
        <v>2500</v>
      </c>
      <c r="P50" s="8">
        <f t="shared" si="10"/>
        <v>2500</v>
      </c>
      <c r="Q50" s="8">
        <f t="shared" si="10"/>
        <v>2500</v>
      </c>
      <c r="R50" s="8">
        <f t="shared" si="10"/>
        <v>2500</v>
      </c>
      <c r="S50" s="8">
        <f t="shared" si="10"/>
        <v>2500</v>
      </c>
      <c r="T50" s="8">
        <f t="shared" si="10"/>
        <v>2500</v>
      </c>
      <c r="U50" s="8">
        <f t="shared" si="10"/>
        <v>2500</v>
      </c>
      <c r="V50" s="8">
        <f t="shared" si="2"/>
        <v>30000</v>
      </c>
    </row>
    <row r="51" spans="1:22" x14ac:dyDescent="0.25">
      <c r="A51" s="2" t="s">
        <v>7</v>
      </c>
      <c r="B51" s="2" t="s">
        <v>7</v>
      </c>
      <c r="C51" s="2" t="s">
        <v>122</v>
      </c>
      <c r="D51" s="2" t="s">
        <v>123</v>
      </c>
      <c r="E51" s="18">
        <f>1840/12</f>
        <v>153.33333333333334</v>
      </c>
      <c r="F51" s="18">
        <v>1</v>
      </c>
      <c r="G51" s="20"/>
      <c r="H51" s="17">
        <f t="shared" si="0"/>
        <v>153.33333333333334</v>
      </c>
      <c r="I51" s="2" t="s">
        <v>124</v>
      </c>
      <c r="J51" s="8">
        <f t="shared" ref="J51:J63" si="11">$H51</f>
        <v>153.33333333333334</v>
      </c>
      <c r="K51" s="8">
        <f t="shared" si="10"/>
        <v>153.33333333333334</v>
      </c>
      <c r="L51" s="8">
        <f t="shared" si="10"/>
        <v>153.33333333333334</v>
      </c>
      <c r="M51" s="8">
        <f t="shared" si="10"/>
        <v>153.33333333333334</v>
      </c>
      <c r="N51" s="8">
        <f t="shared" si="10"/>
        <v>153.33333333333334</v>
      </c>
      <c r="O51" s="8">
        <f t="shared" si="10"/>
        <v>153.33333333333334</v>
      </c>
      <c r="P51" s="8">
        <f t="shared" si="10"/>
        <v>153.33333333333334</v>
      </c>
      <c r="Q51" s="8">
        <f t="shared" si="10"/>
        <v>153.33333333333334</v>
      </c>
      <c r="R51" s="8">
        <f t="shared" si="10"/>
        <v>153.33333333333334</v>
      </c>
      <c r="S51" s="8">
        <f t="shared" si="10"/>
        <v>153.33333333333334</v>
      </c>
      <c r="T51" s="8">
        <f t="shared" si="10"/>
        <v>153.33333333333334</v>
      </c>
      <c r="U51" s="8">
        <f t="shared" si="10"/>
        <v>153.33333333333334</v>
      </c>
      <c r="V51" s="8">
        <f t="shared" si="2"/>
        <v>1839.9999999999998</v>
      </c>
    </row>
    <row r="52" spans="1:22" x14ac:dyDescent="0.25">
      <c r="A52" s="2" t="s">
        <v>7</v>
      </c>
      <c r="B52" s="2" t="s">
        <v>7</v>
      </c>
      <c r="C52" s="2" t="s">
        <v>125</v>
      </c>
      <c r="D52" s="2" t="s">
        <v>126</v>
      </c>
      <c r="E52" s="18">
        <v>29.6</v>
      </c>
      <c r="F52" s="18">
        <v>8</v>
      </c>
      <c r="G52" s="20"/>
      <c r="H52" s="17">
        <f t="shared" si="0"/>
        <v>236.8</v>
      </c>
      <c r="I52" s="2" t="s">
        <v>127</v>
      </c>
      <c r="J52" s="8">
        <f t="shared" si="11"/>
        <v>236.8</v>
      </c>
      <c r="K52" s="8">
        <f t="shared" ref="K52:U61" si="12">$H52</f>
        <v>236.8</v>
      </c>
      <c r="L52" s="8">
        <f t="shared" si="12"/>
        <v>236.8</v>
      </c>
      <c r="M52" s="8">
        <f t="shared" si="12"/>
        <v>236.8</v>
      </c>
      <c r="N52" s="8">
        <f t="shared" si="12"/>
        <v>236.8</v>
      </c>
      <c r="O52" s="8">
        <f t="shared" si="12"/>
        <v>236.8</v>
      </c>
      <c r="P52" s="8">
        <f t="shared" si="12"/>
        <v>236.8</v>
      </c>
      <c r="Q52" s="8">
        <f t="shared" si="12"/>
        <v>236.8</v>
      </c>
      <c r="R52" s="8">
        <f t="shared" si="12"/>
        <v>236.8</v>
      </c>
      <c r="S52" s="8">
        <f t="shared" si="12"/>
        <v>236.8</v>
      </c>
      <c r="T52" s="8">
        <f t="shared" si="12"/>
        <v>236.8</v>
      </c>
      <c r="U52" s="8">
        <f t="shared" si="12"/>
        <v>236.8</v>
      </c>
      <c r="V52" s="8">
        <f t="shared" si="2"/>
        <v>2841.6000000000004</v>
      </c>
    </row>
    <row r="53" spans="1:22" x14ac:dyDescent="0.25">
      <c r="A53" s="2" t="s">
        <v>7</v>
      </c>
      <c r="B53" s="2" t="s">
        <v>7</v>
      </c>
      <c r="C53" s="2" t="s">
        <v>128</v>
      </c>
      <c r="D53" s="2" t="s">
        <v>129</v>
      </c>
      <c r="E53" s="18">
        <v>270.11</v>
      </c>
      <c r="F53" s="18">
        <v>1</v>
      </c>
      <c r="G53" s="20"/>
      <c r="H53" s="17">
        <f t="shared" si="0"/>
        <v>270.11</v>
      </c>
      <c r="I53" s="2" t="s">
        <v>130</v>
      </c>
      <c r="J53" s="8">
        <f t="shared" si="11"/>
        <v>270.11</v>
      </c>
      <c r="K53" s="8">
        <f t="shared" si="12"/>
        <v>270.11</v>
      </c>
      <c r="L53" s="8">
        <f t="shared" si="12"/>
        <v>270.11</v>
      </c>
      <c r="M53" s="8">
        <f t="shared" si="12"/>
        <v>270.11</v>
      </c>
      <c r="N53" s="8">
        <f t="shared" si="12"/>
        <v>270.11</v>
      </c>
      <c r="O53" s="8">
        <f t="shared" si="12"/>
        <v>270.11</v>
      </c>
      <c r="P53" s="8">
        <f t="shared" si="12"/>
        <v>270.11</v>
      </c>
      <c r="Q53" s="8">
        <f t="shared" si="12"/>
        <v>270.11</v>
      </c>
      <c r="R53" s="8">
        <f t="shared" si="12"/>
        <v>270.11</v>
      </c>
      <c r="S53" s="8">
        <f t="shared" si="12"/>
        <v>270.11</v>
      </c>
      <c r="T53" s="8">
        <f t="shared" si="12"/>
        <v>270.11</v>
      </c>
      <c r="U53" s="8">
        <f t="shared" si="12"/>
        <v>270.11</v>
      </c>
      <c r="V53" s="8">
        <f t="shared" si="2"/>
        <v>3241.3200000000011</v>
      </c>
    </row>
    <row r="54" spans="1:22" x14ac:dyDescent="0.25">
      <c r="A54" s="2" t="s">
        <v>7</v>
      </c>
      <c r="B54" s="2" t="s">
        <v>7</v>
      </c>
      <c r="C54" s="2" t="s">
        <v>131</v>
      </c>
      <c r="D54" s="2" t="s">
        <v>132</v>
      </c>
      <c r="E54" s="18">
        <v>325</v>
      </c>
      <c r="F54" s="18">
        <v>1</v>
      </c>
      <c r="G54" s="20"/>
      <c r="H54" s="17">
        <f t="shared" si="0"/>
        <v>325</v>
      </c>
      <c r="I54" s="2" t="s">
        <v>133</v>
      </c>
      <c r="J54" s="8">
        <f t="shared" si="11"/>
        <v>325</v>
      </c>
      <c r="K54" s="8">
        <f t="shared" si="12"/>
        <v>325</v>
      </c>
      <c r="L54" s="8">
        <f t="shared" si="12"/>
        <v>325</v>
      </c>
      <c r="M54" s="8">
        <f t="shared" si="12"/>
        <v>325</v>
      </c>
      <c r="N54" s="8">
        <f t="shared" si="12"/>
        <v>325</v>
      </c>
      <c r="O54" s="8">
        <f t="shared" si="12"/>
        <v>325</v>
      </c>
      <c r="P54" s="8">
        <f t="shared" si="12"/>
        <v>325</v>
      </c>
      <c r="Q54" s="8">
        <f t="shared" si="12"/>
        <v>325</v>
      </c>
      <c r="R54" s="8">
        <f t="shared" si="12"/>
        <v>325</v>
      </c>
      <c r="S54" s="8">
        <f t="shared" si="12"/>
        <v>325</v>
      </c>
      <c r="T54" s="8">
        <f t="shared" si="12"/>
        <v>325</v>
      </c>
      <c r="U54" s="8">
        <f t="shared" si="12"/>
        <v>325</v>
      </c>
      <c r="V54" s="8">
        <f t="shared" si="2"/>
        <v>3900</v>
      </c>
    </row>
    <row r="55" spans="1:22" x14ac:dyDescent="0.25">
      <c r="A55" s="2" t="s">
        <v>7</v>
      </c>
      <c r="B55" s="2" t="s">
        <v>7</v>
      </c>
      <c r="C55" s="2" t="s">
        <v>173</v>
      </c>
      <c r="D55" s="2" t="s">
        <v>174</v>
      </c>
      <c r="E55" s="18">
        <f>5700/12</f>
        <v>475</v>
      </c>
      <c r="F55" s="18">
        <v>1</v>
      </c>
      <c r="G55" s="20"/>
      <c r="H55" s="17">
        <f t="shared" si="0"/>
        <v>475</v>
      </c>
      <c r="I55" s="2"/>
      <c r="J55" s="8">
        <f t="shared" si="11"/>
        <v>475</v>
      </c>
      <c r="K55" s="8">
        <f t="shared" si="12"/>
        <v>475</v>
      </c>
      <c r="L55" s="8">
        <f t="shared" si="12"/>
        <v>475</v>
      </c>
      <c r="M55" s="8">
        <f t="shared" si="12"/>
        <v>475</v>
      </c>
      <c r="N55" s="8">
        <f t="shared" si="12"/>
        <v>475</v>
      </c>
      <c r="O55" s="8">
        <f t="shared" si="12"/>
        <v>475</v>
      </c>
      <c r="P55" s="8">
        <f t="shared" si="12"/>
        <v>475</v>
      </c>
      <c r="Q55" s="8">
        <f t="shared" si="12"/>
        <v>475</v>
      </c>
      <c r="R55" s="8">
        <f t="shared" si="12"/>
        <v>475</v>
      </c>
      <c r="S55" s="8">
        <f t="shared" si="12"/>
        <v>475</v>
      </c>
      <c r="T55" s="8">
        <f t="shared" si="12"/>
        <v>475</v>
      </c>
      <c r="U55" s="8">
        <f t="shared" si="12"/>
        <v>475</v>
      </c>
      <c r="V55" s="8">
        <f t="shared" si="2"/>
        <v>5700</v>
      </c>
    </row>
    <row r="56" spans="1:22" x14ac:dyDescent="0.25">
      <c r="A56" s="2" t="s">
        <v>7</v>
      </c>
      <c r="B56" s="2" t="s">
        <v>134</v>
      </c>
      <c r="C56" s="2" t="s">
        <v>135</v>
      </c>
      <c r="D56" s="2" t="s">
        <v>129</v>
      </c>
      <c r="E56" s="18">
        <f>10778.4/6</f>
        <v>1796.3999999999999</v>
      </c>
      <c r="F56" s="18">
        <v>1</v>
      </c>
      <c r="G56" s="20"/>
      <c r="H56" s="17">
        <f t="shared" si="0"/>
        <v>1796.3999999999999</v>
      </c>
      <c r="I56" s="2" t="s">
        <v>136</v>
      </c>
      <c r="J56" s="8">
        <f t="shared" si="11"/>
        <v>1796.3999999999999</v>
      </c>
      <c r="K56" s="8">
        <f t="shared" si="12"/>
        <v>1796.3999999999999</v>
      </c>
      <c r="L56" s="8">
        <f t="shared" si="12"/>
        <v>1796.3999999999999</v>
      </c>
      <c r="M56" s="8">
        <f t="shared" si="12"/>
        <v>1796.3999999999999</v>
      </c>
      <c r="N56" s="8">
        <f t="shared" si="12"/>
        <v>1796.3999999999999</v>
      </c>
      <c r="O56" s="8">
        <f t="shared" si="12"/>
        <v>1796.3999999999999</v>
      </c>
      <c r="P56" s="8">
        <f t="shared" si="12"/>
        <v>1796.3999999999999</v>
      </c>
      <c r="Q56" s="8">
        <f t="shared" si="12"/>
        <v>1796.3999999999999</v>
      </c>
      <c r="R56" s="8">
        <f t="shared" si="12"/>
        <v>1796.3999999999999</v>
      </c>
      <c r="S56" s="8">
        <f t="shared" si="12"/>
        <v>1796.3999999999999</v>
      </c>
      <c r="T56" s="8">
        <f t="shared" si="12"/>
        <v>1796.3999999999999</v>
      </c>
      <c r="U56" s="8">
        <f t="shared" si="12"/>
        <v>1796.3999999999999</v>
      </c>
      <c r="V56" s="8">
        <f t="shared" si="2"/>
        <v>21556.800000000003</v>
      </c>
    </row>
    <row r="57" spans="1:22" x14ac:dyDescent="0.25">
      <c r="A57" s="2" t="s">
        <v>7</v>
      </c>
      <c r="B57" s="2" t="s">
        <v>134</v>
      </c>
      <c r="C57" s="2" t="s">
        <v>137</v>
      </c>
      <c r="D57" s="2" t="s">
        <v>138</v>
      </c>
      <c r="E57" s="18">
        <f>(22523-791.67*6)/6</f>
        <v>2962.1633333333334</v>
      </c>
      <c r="F57" s="18">
        <v>1</v>
      </c>
      <c r="G57" s="20"/>
      <c r="H57" s="17">
        <f t="shared" si="0"/>
        <v>2962.1633333333334</v>
      </c>
      <c r="I57" s="2" t="s">
        <v>139</v>
      </c>
      <c r="J57" s="8">
        <f t="shared" si="11"/>
        <v>2962.1633333333334</v>
      </c>
      <c r="K57" s="8">
        <f t="shared" si="12"/>
        <v>2962.1633333333334</v>
      </c>
      <c r="L57" s="8">
        <f t="shared" si="12"/>
        <v>2962.1633333333334</v>
      </c>
      <c r="M57" s="8">
        <f t="shared" si="12"/>
        <v>2962.1633333333334</v>
      </c>
      <c r="N57" s="8">
        <f t="shared" si="12"/>
        <v>2962.1633333333334</v>
      </c>
      <c r="O57" s="8">
        <f t="shared" si="12"/>
        <v>2962.1633333333334</v>
      </c>
      <c r="P57" s="8">
        <f t="shared" si="12"/>
        <v>2962.1633333333334</v>
      </c>
      <c r="Q57" s="8">
        <f t="shared" si="12"/>
        <v>2962.1633333333334</v>
      </c>
      <c r="R57" s="8">
        <f t="shared" si="12"/>
        <v>2962.1633333333334</v>
      </c>
      <c r="S57" s="8">
        <f t="shared" si="12"/>
        <v>2962.1633333333334</v>
      </c>
      <c r="T57" s="8">
        <f t="shared" si="12"/>
        <v>2962.1633333333334</v>
      </c>
      <c r="U57" s="8">
        <f t="shared" si="12"/>
        <v>2962.1633333333334</v>
      </c>
      <c r="V57" s="8">
        <f t="shared" si="2"/>
        <v>35545.96</v>
      </c>
    </row>
    <row r="58" spans="1:22" x14ac:dyDescent="0.25">
      <c r="A58" s="2" t="s">
        <v>7</v>
      </c>
      <c r="B58" s="2" t="s">
        <v>134</v>
      </c>
      <c r="C58" s="2" t="s">
        <v>137</v>
      </c>
      <c r="D58" s="2" t="s">
        <v>140</v>
      </c>
      <c r="E58" s="18">
        <v>791.66666666666663</v>
      </c>
      <c r="F58" s="18">
        <v>1</v>
      </c>
      <c r="G58" s="20"/>
      <c r="H58" s="17">
        <f t="shared" si="0"/>
        <v>791.66666666666663</v>
      </c>
      <c r="I58" s="2" t="s">
        <v>141</v>
      </c>
      <c r="J58" s="8">
        <f t="shared" si="11"/>
        <v>791.66666666666663</v>
      </c>
      <c r="K58" s="8">
        <f t="shared" si="12"/>
        <v>791.66666666666663</v>
      </c>
      <c r="L58" s="8">
        <f t="shared" si="12"/>
        <v>791.66666666666663</v>
      </c>
      <c r="M58" s="8">
        <f t="shared" si="12"/>
        <v>791.66666666666663</v>
      </c>
      <c r="N58" s="8">
        <f t="shared" si="12"/>
        <v>791.66666666666663</v>
      </c>
      <c r="O58" s="8">
        <f t="shared" si="12"/>
        <v>791.66666666666663</v>
      </c>
      <c r="P58" s="8">
        <f t="shared" si="12"/>
        <v>791.66666666666663</v>
      </c>
      <c r="Q58" s="8">
        <f t="shared" si="12"/>
        <v>791.66666666666663</v>
      </c>
      <c r="R58" s="8">
        <f t="shared" si="12"/>
        <v>791.66666666666663</v>
      </c>
      <c r="S58" s="8">
        <f t="shared" si="12"/>
        <v>791.66666666666663</v>
      </c>
      <c r="T58" s="8">
        <f t="shared" si="12"/>
        <v>791.66666666666663</v>
      </c>
      <c r="U58" s="8">
        <f t="shared" si="12"/>
        <v>791.66666666666663</v>
      </c>
      <c r="V58" s="8">
        <f t="shared" si="2"/>
        <v>9500</v>
      </c>
    </row>
    <row r="59" spans="1:22" x14ac:dyDescent="0.25">
      <c r="A59" s="2" t="s">
        <v>7</v>
      </c>
      <c r="B59" s="2" t="s">
        <v>134</v>
      </c>
      <c r="C59" s="2" t="s">
        <v>142</v>
      </c>
      <c r="D59" s="2" t="s">
        <v>143</v>
      </c>
      <c r="E59" s="18">
        <v>540.46</v>
      </c>
      <c r="F59" s="18">
        <v>1</v>
      </c>
      <c r="G59" s="20"/>
      <c r="H59" s="17">
        <f t="shared" si="0"/>
        <v>540.46</v>
      </c>
      <c r="I59" s="2"/>
      <c r="J59" s="8">
        <f t="shared" si="11"/>
        <v>540.46</v>
      </c>
      <c r="K59" s="8">
        <f t="shared" si="12"/>
        <v>540.46</v>
      </c>
      <c r="L59" s="8">
        <f t="shared" si="12"/>
        <v>540.46</v>
      </c>
      <c r="M59" s="8">
        <f t="shared" si="12"/>
        <v>540.46</v>
      </c>
      <c r="N59" s="8">
        <f t="shared" si="12"/>
        <v>540.46</v>
      </c>
      <c r="O59" s="8">
        <f t="shared" si="12"/>
        <v>540.46</v>
      </c>
      <c r="P59" s="8">
        <f t="shared" si="12"/>
        <v>540.46</v>
      </c>
      <c r="Q59" s="8">
        <f t="shared" si="12"/>
        <v>540.46</v>
      </c>
      <c r="R59" s="8">
        <f t="shared" si="12"/>
        <v>540.46</v>
      </c>
      <c r="S59" s="8">
        <f t="shared" si="12"/>
        <v>540.46</v>
      </c>
      <c r="T59" s="8">
        <f t="shared" si="12"/>
        <v>540.46</v>
      </c>
      <c r="U59" s="8">
        <f t="shared" si="12"/>
        <v>540.46</v>
      </c>
      <c r="V59" s="8">
        <f t="shared" si="2"/>
        <v>6485.52</v>
      </c>
    </row>
    <row r="60" spans="1:22" x14ac:dyDescent="0.25">
      <c r="A60" s="2" t="s">
        <v>7</v>
      </c>
      <c r="B60" s="2" t="s">
        <v>134</v>
      </c>
      <c r="C60" s="2" t="s">
        <v>144</v>
      </c>
      <c r="D60" s="2" t="s">
        <v>143</v>
      </c>
      <c r="E60" s="18">
        <v>1548.79</v>
      </c>
      <c r="F60" s="18">
        <v>1</v>
      </c>
      <c r="G60" s="20"/>
      <c r="H60" s="17">
        <f t="shared" si="0"/>
        <v>1548.79</v>
      </c>
      <c r="I60" s="2"/>
      <c r="J60" s="8">
        <f t="shared" si="11"/>
        <v>1548.79</v>
      </c>
      <c r="K60" s="8">
        <f t="shared" si="12"/>
        <v>1548.79</v>
      </c>
      <c r="L60" s="8">
        <f t="shared" si="12"/>
        <v>1548.79</v>
      </c>
      <c r="M60" s="8">
        <f t="shared" si="12"/>
        <v>1548.79</v>
      </c>
      <c r="N60" s="8">
        <f t="shared" si="12"/>
        <v>1548.79</v>
      </c>
      <c r="O60" s="8">
        <f t="shared" si="12"/>
        <v>1548.79</v>
      </c>
      <c r="P60" s="8">
        <f t="shared" si="12"/>
        <v>1548.79</v>
      </c>
      <c r="Q60" s="8">
        <f t="shared" si="12"/>
        <v>1548.79</v>
      </c>
      <c r="R60" s="8">
        <f t="shared" si="12"/>
        <v>1548.79</v>
      </c>
      <c r="S60" s="8">
        <f t="shared" si="12"/>
        <v>1548.79</v>
      </c>
      <c r="T60" s="8">
        <f t="shared" si="12"/>
        <v>1548.79</v>
      </c>
      <c r="U60" s="8">
        <f t="shared" si="12"/>
        <v>1548.79</v>
      </c>
      <c r="V60" s="8">
        <f t="shared" si="2"/>
        <v>18585.480000000003</v>
      </c>
    </row>
    <row r="61" spans="1:22" x14ac:dyDescent="0.25">
      <c r="A61" s="2" t="s">
        <v>7</v>
      </c>
      <c r="B61" s="2" t="s">
        <v>134</v>
      </c>
      <c r="C61" s="2" t="s">
        <v>144</v>
      </c>
      <c r="D61" s="2" t="s">
        <v>143</v>
      </c>
      <c r="E61" s="18">
        <v>420</v>
      </c>
      <c r="F61" s="18">
        <v>0</v>
      </c>
      <c r="G61" s="20"/>
      <c r="H61" s="17">
        <f t="shared" si="0"/>
        <v>0</v>
      </c>
      <c r="I61" s="2" t="s">
        <v>162</v>
      </c>
      <c r="J61" s="8">
        <f t="shared" si="11"/>
        <v>0</v>
      </c>
      <c r="K61" s="8">
        <f t="shared" si="12"/>
        <v>0</v>
      </c>
      <c r="L61" s="8">
        <f t="shared" si="12"/>
        <v>0</v>
      </c>
      <c r="M61" s="8">
        <f t="shared" si="12"/>
        <v>0</v>
      </c>
      <c r="N61" s="8">
        <f t="shared" si="12"/>
        <v>0</v>
      </c>
      <c r="O61" s="8">
        <f t="shared" si="12"/>
        <v>0</v>
      </c>
      <c r="P61" s="8">
        <f t="shared" si="12"/>
        <v>0</v>
      </c>
      <c r="Q61" s="8">
        <f t="shared" si="12"/>
        <v>0</v>
      </c>
      <c r="R61" s="8">
        <f t="shared" si="12"/>
        <v>0</v>
      </c>
      <c r="S61" s="8">
        <f t="shared" si="12"/>
        <v>0</v>
      </c>
      <c r="T61" s="8">
        <f t="shared" si="12"/>
        <v>0</v>
      </c>
      <c r="U61" s="8">
        <f t="shared" si="12"/>
        <v>0</v>
      </c>
      <c r="V61" s="8">
        <f t="shared" si="2"/>
        <v>0</v>
      </c>
    </row>
    <row r="62" spans="1:22" x14ac:dyDescent="0.25">
      <c r="A62" s="2" t="s">
        <v>7</v>
      </c>
      <c r="B62" s="2" t="s">
        <v>134</v>
      </c>
      <c r="C62" s="2" t="s">
        <v>40</v>
      </c>
      <c r="D62" s="2" t="s">
        <v>143</v>
      </c>
      <c r="E62" s="18">
        <f>22000/12</f>
        <v>1833.3333333333333</v>
      </c>
      <c r="F62" s="18">
        <v>1</v>
      </c>
      <c r="G62" s="20"/>
      <c r="H62" s="17">
        <f t="shared" si="0"/>
        <v>1833.3333333333333</v>
      </c>
      <c r="I62" s="2" t="s">
        <v>165</v>
      </c>
      <c r="J62" s="8">
        <f t="shared" si="11"/>
        <v>1833.3333333333333</v>
      </c>
      <c r="K62" s="8">
        <f t="shared" ref="K62:U63" si="13">$H62</f>
        <v>1833.3333333333333</v>
      </c>
      <c r="L62" s="8">
        <f t="shared" si="13"/>
        <v>1833.3333333333333</v>
      </c>
      <c r="M62" s="8">
        <f t="shared" si="13"/>
        <v>1833.3333333333333</v>
      </c>
      <c r="N62" s="8">
        <f t="shared" si="13"/>
        <v>1833.3333333333333</v>
      </c>
      <c r="O62" s="8">
        <f t="shared" si="13"/>
        <v>1833.3333333333333</v>
      </c>
      <c r="P62" s="8">
        <f t="shared" si="13"/>
        <v>1833.3333333333333</v>
      </c>
      <c r="Q62" s="8">
        <f t="shared" si="13"/>
        <v>1833.3333333333333</v>
      </c>
      <c r="R62" s="8">
        <f t="shared" si="13"/>
        <v>1833.3333333333333</v>
      </c>
      <c r="S62" s="8">
        <f t="shared" si="13"/>
        <v>1833.3333333333333</v>
      </c>
      <c r="T62" s="8">
        <f t="shared" si="13"/>
        <v>1833.3333333333333</v>
      </c>
      <c r="U62" s="8">
        <f t="shared" si="13"/>
        <v>1833.3333333333333</v>
      </c>
      <c r="V62" s="8">
        <f t="shared" si="2"/>
        <v>21999.999999999996</v>
      </c>
    </row>
    <row r="63" spans="1:22" x14ac:dyDescent="0.25">
      <c r="A63" s="2" t="s">
        <v>7</v>
      </c>
      <c r="B63" s="2" t="s">
        <v>134</v>
      </c>
      <c r="C63" s="2" t="s">
        <v>145</v>
      </c>
      <c r="D63" s="2" t="s">
        <v>143</v>
      </c>
      <c r="E63" s="18">
        <f>3125/12+851.7/12</f>
        <v>331.39166666666671</v>
      </c>
      <c r="F63" s="18">
        <v>1</v>
      </c>
      <c r="G63" s="20"/>
      <c r="H63" s="17">
        <f t="shared" si="0"/>
        <v>331.39166666666671</v>
      </c>
      <c r="I63" s="2" t="s">
        <v>146</v>
      </c>
      <c r="J63" s="8">
        <f t="shared" si="11"/>
        <v>331.39166666666671</v>
      </c>
      <c r="K63" s="8">
        <f t="shared" si="13"/>
        <v>331.39166666666671</v>
      </c>
      <c r="L63" s="8">
        <f t="shared" si="13"/>
        <v>331.39166666666671</v>
      </c>
      <c r="M63" s="8">
        <f t="shared" si="13"/>
        <v>331.39166666666671</v>
      </c>
      <c r="N63" s="8">
        <f t="shared" si="13"/>
        <v>331.39166666666671</v>
      </c>
      <c r="O63" s="8">
        <f t="shared" si="13"/>
        <v>331.39166666666671</v>
      </c>
      <c r="P63" s="8">
        <f t="shared" si="13"/>
        <v>331.39166666666671</v>
      </c>
      <c r="Q63" s="8">
        <f t="shared" si="13"/>
        <v>331.39166666666671</v>
      </c>
      <c r="R63" s="8">
        <f t="shared" si="13"/>
        <v>331.39166666666671</v>
      </c>
      <c r="S63" s="8">
        <f t="shared" si="13"/>
        <v>331.39166666666671</v>
      </c>
      <c r="T63" s="8">
        <f t="shared" si="13"/>
        <v>331.39166666666671</v>
      </c>
      <c r="U63" s="8">
        <f t="shared" si="13"/>
        <v>331.39166666666671</v>
      </c>
      <c r="V63" s="8">
        <f t="shared" si="2"/>
        <v>3976.7000000000012</v>
      </c>
    </row>
  </sheetData>
  <autoFilter ref="A1:V63" xr:uid="{E5F350EA-BBAB-437B-801B-4AD2D488F0B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AABC-4CD1-488D-B2CA-E2E8E1AEE20C}">
  <sheetPr>
    <tabColor theme="0"/>
  </sheetPr>
  <dimension ref="A2:P21"/>
  <sheetViews>
    <sheetView workbookViewId="0">
      <selection activeCell="B7" sqref="B7:B13"/>
    </sheetView>
  </sheetViews>
  <sheetFormatPr baseColWidth="10" defaultRowHeight="15" x14ac:dyDescent="0.25"/>
  <cols>
    <col min="1" max="1" width="23.42578125" bestFit="1" customWidth="1"/>
    <col min="2" max="2" width="7.7109375" bestFit="1" customWidth="1"/>
    <col min="3" max="14" width="9.42578125" customWidth="1"/>
    <col min="15" max="15" width="9.42578125" style="13" customWidth="1"/>
    <col min="16" max="16" width="47.7109375" bestFit="1" customWidth="1"/>
  </cols>
  <sheetData>
    <row r="2" spans="1:16" x14ac:dyDescent="0.25">
      <c r="A2" s="1" t="s">
        <v>33</v>
      </c>
      <c r="B2" s="1" t="s">
        <v>32</v>
      </c>
      <c r="C2" s="10">
        <v>46023</v>
      </c>
      <c r="D2" s="10">
        <v>46054</v>
      </c>
      <c r="E2" s="10">
        <v>46082</v>
      </c>
      <c r="F2" s="10">
        <v>46113</v>
      </c>
      <c r="G2" s="10">
        <v>46143</v>
      </c>
      <c r="H2" s="10">
        <v>46174</v>
      </c>
      <c r="I2" s="10">
        <v>46204</v>
      </c>
      <c r="J2" s="10">
        <v>46235</v>
      </c>
      <c r="K2" s="10">
        <v>46266</v>
      </c>
      <c r="L2" s="10">
        <v>46296</v>
      </c>
      <c r="M2" s="10">
        <v>46327</v>
      </c>
      <c r="N2" s="10">
        <v>46357</v>
      </c>
      <c r="O2" s="10" t="s">
        <v>31</v>
      </c>
    </row>
    <row r="4" spans="1:16" x14ac:dyDescent="0.25">
      <c r="A4" s="2" t="s">
        <v>182</v>
      </c>
      <c r="B4" s="5">
        <f>579367.21/12</f>
        <v>48280.60083333333</v>
      </c>
      <c r="C4" s="8">
        <f>$B4</f>
        <v>48280.60083333333</v>
      </c>
      <c r="D4" s="8">
        <f t="shared" ref="D4:N4" si="0">$B4</f>
        <v>48280.60083333333</v>
      </c>
      <c r="E4" s="8">
        <f t="shared" si="0"/>
        <v>48280.60083333333</v>
      </c>
      <c r="F4" s="8">
        <f t="shared" si="0"/>
        <v>48280.60083333333</v>
      </c>
      <c r="G4" s="8">
        <f t="shared" si="0"/>
        <v>48280.60083333333</v>
      </c>
      <c r="H4" s="8">
        <f t="shared" si="0"/>
        <v>48280.60083333333</v>
      </c>
      <c r="I4" s="8">
        <f t="shared" si="0"/>
        <v>48280.60083333333</v>
      </c>
      <c r="J4" s="8">
        <f t="shared" si="0"/>
        <v>48280.60083333333</v>
      </c>
      <c r="K4" s="8">
        <f t="shared" si="0"/>
        <v>48280.60083333333</v>
      </c>
      <c r="L4" s="8">
        <f t="shared" si="0"/>
        <v>48280.60083333333</v>
      </c>
      <c r="M4" s="8">
        <f t="shared" si="0"/>
        <v>48280.60083333333</v>
      </c>
      <c r="N4" s="8">
        <f t="shared" si="0"/>
        <v>48280.60083333333</v>
      </c>
      <c r="O4" s="12">
        <f>SUM(C4:N4)</f>
        <v>579367.21</v>
      </c>
    </row>
    <row r="5" spans="1:16" x14ac:dyDescent="0.25">
      <c r="A5" s="2" t="s">
        <v>34</v>
      </c>
      <c r="B5" s="5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2"/>
    </row>
    <row r="6" spans="1:16" x14ac:dyDescent="0.25">
      <c r="A6" s="11" t="s">
        <v>35</v>
      </c>
      <c r="B6" s="5">
        <v>196534.86</v>
      </c>
      <c r="C6" s="8"/>
      <c r="D6" s="8"/>
      <c r="E6" s="8"/>
      <c r="F6" s="8"/>
      <c r="G6" s="8"/>
      <c r="H6" s="8"/>
      <c r="I6" s="8">
        <f>$B6/3/12</f>
        <v>5459.3016666666663</v>
      </c>
      <c r="J6" s="8">
        <f t="shared" ref="J6:N7" si="1">$B6/3/12</f>
        <v>5459.3016666666663</v>
      </c>
      <c r="K6" s="8">
        <f t="shared" si="1"/>
        <v>5459.3016666666663</v>
      </c>
      <c r="L6" s="8">
        <f t="shared" si="1"/>
        <v>5459.3016666666663</v>
      </c>
      <c r="M6" s="8">
        <f t="shared" si="1"/>
        <v>5459.3016666666663</v>
      </c>
      <c r="N6" s="8">
        <f t="shared" si="1"/>
        <v>5459.3016666666663</v>
      </c>
      <c r="O6" s="12">
        <f>SUM(C6:N6)</f>
        <v>32755.809999999998</v>
      </c>
    </row>
    <row r="7" spans="1:16" x14ac:dyDescent="0.25">
      <c r="A7" s="11" t="s">
        <v>158</v>
      </c>
      <c r="B7" s="5">
        <v>29600</v>
      </c>
      <c r="C7" s="8">
        <f t="shared" ref="C7:I7" si="2">$B7/3/12</f>
        <v>822.22222222222217</v>
      </c>
      <c r="D7" s="8">
        <f t="shared" si="2"/>
        <v>822.22222222222217</v>
      </c>
      <c r="E7" s="8">
        <f t="shared" si="2"/>
        <v>822.22222222222217</v>
      </c>
      <c r="F7" s="8">
        <f t="shared" si="2"/>
        <v>822.22222222222217</v>
      </c>
      <c r="G7" s="8">
        <f t="shared" si="2"/>
        <v>822.22222222222217</v>
      </c>
      <c r="H7" s="8">
        <f t="shared" si="2"/>
        <v>822.22222222222217</v>
      </c>
      <c r="I7" s="8">
        <f t="shared" si="2"/>
        <v>822.22222222222217</v>
      </c>
      <c r="J7" s="8">
        <f t="shared" si="1"/>
        <v>822.22222222222217</v>
      </c>
      <c r="K7" s="8">
        <f t="shared" si="1"/>
        <v>822.22222222222217</v>
      </c>
      <c r="L7" s="8">
        <f t="shared" si="1"/>
        <v>822.22222222222217</v>
      </c>
      <c r="M7" s="8">
        <f t="shared" si="1"/>
        <v>822.22222222222217</v>
      </c>
      <c r="N7" s="8">
        <f t="shared" si="1"/>
        <v>822.22222222222217</v>
      </c>
      <c r="O7" s="12">
        <f>SUM(C7:N7)</f>
        <v>9866.6666666666697</v>
      </c>
      <c r="P7" t="s">
        <v>157</v>
      </c>
    </row>
    <row r="8" spans="1:16" x14ac:dyDescent="0.25">
      <c r="A8" s="11" t="s">
        <v>159</v>
      </c>
      <c r="B8" s="5">
        <v>13900</v>
      </c>
      <c r="C8" s="8"/>
      <c r="D8" s="8"/>
      <c r="E8" s="8"/>
      <c r="F8" s="8">
        <f>$B8/44</f>
        <v>315.90909090909093</v>
      </c>
      <c r="G8" s="8">
        <f t="shared" ref="G8:N8" si="3">$B8/44</f>
        <v>315.90909090909093</v>
      </c>
      <c r="H8" s="8">
        <f t="shared" si="3"/>
        <v>315.90909090909093</v>
      </c>
      <c r="I8" s="8">
        <f t="shared" si="3"/>
        <v>315.90909090909093</v>
      </c>
      <c r="J8" s="8">
        <f t="shared" si="3"/>
        <v>315.90909090909093</v>
      </c>
      <c r="K8" s="8">
        <f t="shared" si="3"/>
        <v>315.90909090909093</v>
      </c>
      <c r="L8" s="8">
        <f t="shared" si="3"/>
        <v>315.90909090909093</v>
      </c>
      <c r="M8" s="8">
        <f t="shared" si="3"/>
        <v>315.90909090909093</v>
      </c>
      <c r="N8" s="8">
        <f t="shared" si="3"/>
        <v>315.90909090909093</v>
      </c>
      <c r="O8" s="12">
        <f>SUM(C8:N8)</f>
        <v>2843.1818181818185</v>
      </c>
      <c r="P8" t="s">
        <v>160</v>
      </c>
    </row>
    <row r="9" spans="1:16" x14ac:dyDescent="0.25">
      <c r="A9" s="2" t="s">
        <v>36</v>
      </c>
      <c r="B9" s="5">
        <f>650*3*12</f>
        <v>23400</v>
      </c>
      <c r="C9" s="8">
        <f>650*3/36</f>
        <v>54.166666666666664</v>
      </c>
      <c r="D9" s="8">
        <f t="shared" ref="D9:N9" si="4">650*3/36+C9</f>
        <v>108.33333333333333</v>
      </c>
      <c r="E9" s="8">
        <f t="shared" si="4"/>
        <v>162.5</v>
      </c>
      <c r="F9" s="8">
        <f t="shared" si="4"/>
        <v>216.66666666666666</v>
      </c>
      <c r="G9" s="8">
        <f t="shared" si="4"/>
        <v>270.83333333333331</v>
      </c>
      <c r="H9" s="8">
        <f t="shared" si="4"/>
        <v>325</v>
      </c>
      <c r="I9" s="8">
        <f t="shared" si="4"/>
        <v>379.16666666666669</v>
      </c>
      <c r="J9" s="8">
        <f t="shared" si="4"/>
        <v>433.33333333333337</v>
      </c>
      <c r="K9" s="8">
        <f t="shared" si="4"/>
        <v>487.50000000000006</v>
      </c>
      <c r="L9" s="8">
        <f t="shared" si="4"/>
        <v>541.66666666666674</v>
      </c>
      <c r="M9" s="8">
        <f t="shared" si="4"/>
        <v>595.83333333333337</v>
      </c>
      <c r="N9" s="8">
        <f t="shared" si="4"/>
        <v>650</v>
      </c>
      <c r="O9" s="12">
        <f>SUM(C9:N9)</f>
        <v>4225</v>
      </c>
      <c r="P9" t="s">
        <v>42</v>
      </c>
    </row>
    <row r="10" spans="1:16" x14ac:dyDescent="0.25">
      <c r="A10" s="2" t="s">
        <v>37</v>
      </c>
      <c r="B10" s="5">
        <f>(1100+1345)*4</f>
        <v>9780</v>
      </c>
      <c r="C10" s="8">
        <f>$B10/12/3/4</f>
        <v>67.916666666666671</v>
      </c>
      <c r="D10" s="8">
        <f t="shared" ref="D10:E10" si="5">$B10/12/3/4</f>
        <v>67.916666666666671</v>
      </c>
      <c r="E10" s="8">
        <f t="shared" si="5"/>
        <v>67.916666666666671</v>
      </c>
      <c r="F10" s="8">
        <f>$B10/12/3/2</f>
        <v>135.83333333333334</v>
      </c>
      <c r="G10" s="8">
        <f t="shared" ref="G10:H10" si="6">$B10/12/3/2</f>
        <v>135.83333333333334</v>
      </c>
      <c r="H10" s="8">
        <f t="shared" si="6"/>
        <v>135.83333333333334</v>
      </c>
      <c r="I10" s="8">
        <f>$B10/12/3/4*3</f>
        <v>203.75</v>
      </c>
      <c r="J10" s="8">
        <f t="shared" ref="J10:K10" si="7">$B10/12/3/4*3</f>
        <v>203.75</v>
      </c>
      <c r="K10" s="8">
        <f t="shared" si="7"/>
        <v>203.75</v>
      </c>
      <c r="L10" s="8">
        <f>$B10/12/3</f>
        <v>271.66666666666669</v>
      </c>
      <c r="M10" s="8">
        <f t="shared" ref="M10:N10" si="8">$B10/12/3</f>
        <v>271.66666666666669</v>
      </c>
      <c r="N10" s="8">
        <f t="shared" si="8"/>
        <v>271.66666666666669</v>
      </c>
      <c r="O10" s="12">
        <f>SUM(C10:N10)</f>
        <v>2037.5000000000002</v>
      </c>
      <c r="P10" t="s">
        <v>43</v>
      </c>
    </row>
    <row r="11" spans="1:16" x14ac:dyDescent="0.25">
      <c r="A11" s="2" t="s">
        <v>38</v>
      </c>
      <c r="B11" s="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2"/>
    </row>
    <row r="12" spans="1:16" x14ac:dyDescent="0.25">
      <c r="A12" s="11" t="s">
        <v>39</v>
      </c>
      <c r="B12" s="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2"/>
    </row>
    <row r="13" spans="1:16" x14ac:dyDescent="0.25">
      <c r="A13" s="11" t="s">
        <v>40</v>
      </c>
      <c r="B13" s="5">
        <v>20000</v>
      </c>
      <c r="C13" s="8">
        <f t="shared" ref="C13:N13" si="9">$B13/3/12</f>
        <v>555.55555555555554</v>
      </c>
      <c r="D13" s="8">
        <f t="shared" si="9"/>
        <v>555.55555555555554</v>
      </c>
      <c r="E13" s="8">
        <f t="shared" si="9"/>
        <v>555.55555555555554</v>
      </c>
      <c r="F13" s="8">
        <f t="shared" si="9"/>
        <v>555.55555555555554</v>
      </c>
      <c r="G13" s="8">
        <f t="shared" si="9"/>
        <v>555.55555555555554</v>
      </c>
      <c r="H13" s="8">
        <f t="shared" si="9"/>
        <v>555.55555555555554</v>
      </c>
      <c r="I13" s="8">
        <f t="shared" si="9"/>
        <v>555.55555555555554</v>
      </c>
      <c r="J13" s="8">
        <f t="shared" si="9"/>
        <v>555.55555555555554</v>
      </c>
      <c r="K13" s="8">
        <f t="shared" si="9"/>
        <v>555.55555555555554</v>
      </c>
      <c r="L13" s="8">
        <f t="shared" si="9"/>
        <v>555.55555555555554</v>
      </c>
      <c r="M13" s="8">
        <f t="shared" si="9"/>
        <v>555.55555555555554</v>
      </c>
      <c r="N13" s="8">
        <f t="shared" si="9"/>
        <v>555.55555555555554</v>
      </c>
      <c r="O13" s="12">
        <f>SUM(C13:N13)</f>
        <v>6666.666666666667</v>
      </c>
      <c r="P13" t="s">
        <v>175</v>
      </c>
    </row>
    <row r="14" spans="1:16" x14ac:dyDescent="0.25">
      <c r="A14" s="11" t="s">
        <v>41</v>
      </c>
      <c r="B14" s="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2"/>
    </row>
    <row r="15" spans="1:16" x14ac:dyDescent="0.25">
      <c r="A15" s="11"/>
      <c r="B15" s="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2"/>
    </row>
    <row r="16" spans="1:16" x14ac:dyDescent="0.25">
      <c r="A16" s="11"/>
      <c r="B16" s="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2"/>
    </row>
    <row r="18" spans="1:15" s="13" customFormat="1" x14ac:dyDescent="0.25">
      <c r="A18" s="14" t="s">
        <v>31</v>
      </c>
      <c r="B18" s="15"/>
      <c r="C18" s="12">
        <f>SUM(C4:C16)</f>
        <v>49780.461944444432</v>
      </c>
      <c r="D18" s="12">
        <f t="shared" ref="D18:N18" si="10">SUM(D4:D16)</f>
        <v>49834.628611111104</v>
      </c>
      <c r="E18" s="12">
        <f t="shared" si="10"/>
        <v>49888.795277777768</v>
      </c>
      <c r="F18" s="12">
        <f t="shared" si="10"/>
        <v>50326.787702020192</v>
      </c>
      <c r="G18" s="12">
        <f t="shared" si="10"/>
        <v>50380.954368686864</v>
      </c>
      <c r="H18" s="12">
        <f t="shared" si="10"/>
        <v>50435.121035353528</v>
      </c>
      <c r="I18" s="12">
        <f t="shared" si="10"/>
        <v>56016.506035353523</v>
      </c>
      <c r="J18" s="12">
        <f t="shared" si="10"/>
        <v>56070.672702020194</v>
      </c>
      <c r="K18" s="12">
        <f t="shared" si="10"/>
        <v>56124.839368686859</v>
      </c>
      <c r="L18" s="12">
        <f t="shared" si="10"/>
        <v>56246.922702020187</v>
      </c>
      <c r="M18" s="12">
        <f t="shared" si="10"/>
        <v>56301.089368686859</v>
      </c>
      <c r="N18" s="12">
        <f t="shared" si="10"/>
        <v>56355.256035353523</v>
      </c>
      <c r="O18" s="12">
        <f>SUM(C18:N18)</f>
        <v>637762.03515151504</v>
      </c>
    </row>
    <row r="21" spans="1:15" x14ac:dyDescent="0.25">
      <c r="A21" s="24" t="s">
        <v>161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DEED-7D7E-47A3-95BD-24714CA19EDB}">
  <sheetPr>
    <tabColor rgb="FF00B0F0"/>
  </sheetPr>
  <dimension ref="A2:I12"/>
  <sheetViews>
    <sheetView showGridLines="0" workbookViewId="0">
      <selection activeCell="G15" sqref="G15"/>
    </sheetView>
  </sheetViews>
  <sheetFormatPr baseColWidth="10" defaultRowHeight="15" x14ac:dyDescent="0.25"/>
  <cols>
    <col min="1" max="1" width="2.28515625" customWidth="1"/>
    <col min="9" max="9" width="2.28515625" customWidth="1"/>
  </cols>
  <sheetData>
    <row r="2" spans="1:9" x14ac:dyDescent="0.25">
      <c r="A2" s="25"/>
      <c r="B2" s="25" t="s">
        <v>176</v>
      </c>
      <c r="C2" s="26"/>
      <c r="D2" s="26"/>
      <c r="E2" s="26"/>
      <c r="F2" s="26"/>
      <c r="G2" s="26"/>
      <c r="H2" s="26"/>
      <c r="I2" s="26"/>
    </row>
    <row r="4" spans="1:9" x14ac:dyDescent="0.25">
      <c r="B4" s="27"/>
      <c r="C4" s="28" t="s">
        <v>155</v>
      </c>
      <c r="D4" s="28" t="s">
        <v>177</v>
      </c>
      <c r="E4" s="28" t="s">
        <v>178</v>
      </c>
      <c r="F4" s="29" t="s">
        <v>179</v>
      </c>
      <c r="G4" s="30" t="s">
        <v>156</v>
      </c>
      <c r="H4" s="30"/>
    </row>
    <row r="5" spans="1:9" x14ac:dyDescent="0.25">
      <c r="B5" s="31" t="s">
        <v>180</v>
      </c>
      <c r="C5" s="33">
        <v>283.13844</v>
      </c>
      <c r="D5" s="34"/>
      <c r="E5" s="34"/>
      <c r="F5" s="34"/>
      <c r="G5" s="35">
        <v>30</v>
      </c>
      <c r="H5" s="33">
        <f>SUM(C5:G5)</f>
        <v>313.13844</v>
      </c>
    </row>
    <row r="6" spans="1:9" x14ac:dyDescent="0.25">
      <c r="B6" s="31" t="s">
        <v>181</v>
      </c>
      <c r="C6" s="38">
        <v>96.68</v>
      </c>
      <c r="D6" s="39"/>
      <c r="E6" s="39">
        <v>20</v>
      </c>
      <c r="F6" s="39">
        <v>5</v>
      </c>
      <c r="G6" s="39">
        <v>85</v>
      </c>
      <c r="H6" s="38">
        <f t="shared" ref="H6:H7" si="0">SUM(C6:G6)</f>
        <v>206.68</v>
      </c>
    </row>
    <row r="7" spans="1:9" x14ac:dyDescent="0.25">
      <c r="B7" s="36" t="s">
        <v>31</v>
      </c>
      <c r="C7" s="37">
        <f>SUM(C5:C6)</f>
        <v>379.81844000000001</v>
      </c>
      <c r="D7" s="37">
        <f t="shared" ref="D7:G7" si="1">SUM(D5:D6)</f>
        <v>0</v>
      </c>
      <c r="E7" s="37">
        <f t="shared" si="1"/>
        <v>20</v>
      </c>
      <c r="F7" s="37">
        <f t="shared" si="1"/>
        <v>5</v>
      </c>
      <c r="G7" s="37">
        <f t="shared" si="1"/>
        <v>115</v>
      </c>
      <c r="H7" s="37">
        <f t="shared" si="0"/>
        <v>519.81844000000001</v>
      </c>
    </row>
    <row r="8" spans="1:9" x14ac:dyDescent="0.25">
      <c r="B8" s="31"/>
      <c r="C8" s="33"/>
      <c r="D8" s="34"/>
      <c r="E8" s="34"/>
      <c r="F8" s="34"/>
      <c r="G8" s="35"/>
      <c r="H8" s="33"/>
    </row>
    <row r="9" spans="1:9" x14ac:dyDescent="0.25">
      <c r="B9" s="31"/>
      <c r="C9" s="33"/>
      <c r="D9" s="34"/>
      <c r="E9" s="34"/>
      <c r="F9" s="34"/>
      <c r="G9" s="35"/>
      <c r="H9" s="33"/>
    </row>
    <row r="10" spans="1:9" x14ac:dyDescent="0.25">
      <c r="B10" s="31"/>
      <c r="C10" s="33"/>
      <c r="D10" s="34"/>
      <c r="E10" s="34"/>
      <c r="F10" s="34"/>
      <c r="G10" s="35"/>
      <c r="H10" s="33"/>
    </row>
    <row r="11" spans="1:9" x14ac:dyDescent="0.25">
      <c r="B11" s="31"/>
      <c r="D11" s="32"/>
      <c r="E11" s="32"/>
      <c r="F11" s="32"/>
      <c r="G11" s="31"/>
    </row>
    <row r="12" spans="1:9" x14ac:dyDescent="0.25">
      <c r="B12" s="31"/>
      <c r="D12" s="32"/>
      <c r="E12" s="32"/>
      <c r="F12" s="32"/>
      <c r="G12" s="31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EF677D670BB2419FA43814D38E94C6" ma:contentTypeVersion="11" ma:contentTypeDescription="Crée un document." ma:contentTypeScope="" ma:versionID="f561f94c1b8e46644735d1ce853ee2f9">
  <xsd:schema xmlns:xsd="http://www.w3.org/2001/XMLSchema" xmlns:xs="http://www.w3.org/2001/XMLSchema" xmlns:p="http://schemas.microsoft.com/office/2006/metadata/properties" xmlns:ns2="1f379aea-0a68-417f-a19d-f15dddeacdaa" xmlns:ns3="6d8edc88-d8be-473b-8f67-5bdf8d1e078a" targetNamespace="http://schemas.microsoft.com/office/2006/metadata/properties" ma:root="true" ma:fieldsID="4583b4248361d07d1c95068a57973815" ns2:_="" ns3:_="">
    <xsd:import namespace="1f379aea-0a68-417f-a19d-f15dddeacdaa"/>
    <xsd:import namespace="6d8edc88-d8be-473b-8f67-5bdf8d1e07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79aea-0a68-417f-a19d-f15dddeac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4c0effd6-da17-4831-afea-f5e423d559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edc88-d8be-473b-8f67-5bdf8d1e07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47a72f4-958e-4e26-862b-0add6a6ff580}" ma:internalName="TaxCatchAll" ma:showField="CatchAllData" ma:web="6d8edc88-d8be-473b-8f67-5bdf8d1e07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379aea-0a68-417f-a19d-f15dddeacdaa">
      <Terms xmlns="http://schemas.microsoft.com/office/infopath/2007/PartnerControls"/>
    </lcf76f155ced4ddcb4097134ff3c332f>
    <TaxCatchAll xmlns="6d8edc88-d8be-473b-8f67-5bdf8d1e078a" xsi:nil="true"/>
  </documentManagement>
</p:properties>
</file>

<file path=customXml/itemProps1.xml><?xml version="1.0" encoding="utf-8"?>
<ds:datastoreItem xmlns:ds="http://schemas.openxmlformats.org/officeDocument/2006/customXml" ds:itemID="{4A419D45-E750-4C5D-B438-10662243CE32}"/>
</file>

<file path=customXml/itemProps2.xml><?xml version="1.0" encoding="utf-8"?>
<ds:datastoreItem xmlns:ds="http://schemas.openxmlformats.org/officeDocument/2006/customXml" ds:itemID="{F353F84D-EA3A-40B7-AC9A-17451CF9A96D}"/>
</file>

<file path=customXml/itemProps3.xml><?xml version="1.0" encoding="utf-8"?>
<ds:datastoreItem xmlns:ds="http://schemas.openxmlformats.org/officeDocument/2006/customXml" ds:itemID="{243403D5-EF73-4003-9224-BD4016416DB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RH</vt:lpstr>
      <vt:lpstr>Opex</vt:lpstr>
      <vt:lpstr>Amort</vt:lpstr>
      <vt:lpstr>B26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Foltzenlogel</dc:creator>
  <cp:lastModifiedBy>Valentin Bertrand</cp:lastModifiedBy>
  <cp:lastPrinted>2025-09-05T10:21:56Z</cp:lastPrinted>
  <dcterms:created xsi:type="dcterms:W3CDTF">2025-07-23T09:06:20Z</dcterms:created>
  <dcterms:modified xsi:type="dcterms:W3CDTF">2026-04-20T14:57:16Z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0x0101009BEF677D670BB2419FA43814D38E94C6</vt:lpwstr>
  </property>
</Properties>
</file>